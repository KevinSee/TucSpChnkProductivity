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wa-my.sharepoint.com/personal/michael_gallinat_dfw_wa_gov/Documents/Documents/Michael's Data for Backup/Spawning Ground Surveys/"/>
    </mc:Choice>
  </mc:AlternateContent>
  <xr:revisionPtr revIDLastSave="2473" documentId="8_{1B38AF74-AE02-43A9-8892-9DF0389ABB83}" xr6:coauthVersionLast="47" xr6:coauthVersionMax="47" xr10:uidLastSave="{2B758C4C-7895-4987-9AE7-ECC7CD7C972B}"/>
  <bookViews>
    <workbookView xWindow="-120" yWindow="-120" windowWidth="29040" windowHeight="15840" xr2:uid="{00000000-000D-0000-FFFF-FFFF00000000}"/>
  </bookViews>
  <sheets>
    <sheet name="GPS Coord." sheetId="25" r:id="rId1"/>
    <sheet name="Redd Summary" sheetId="49" r:id="rId2"/>
    <sheet name="2023" sheetId="48" r:id="rId3"/>
    <sheet name="2022" sheetId="46" r:id="rId4"/>
    <sheet name="2021" sheetId="45" r:id="rId5"/>
    <sheet name="2020" sheetId="44" r:id="rId6"/>
    <sheet name="2019" sheetId="42" r:id="rId7"/>
    <sheet name="2018" sheetId="41" r:id="rId8"/>
    <sheet name="2017" sheetId="40" r:id="rId9"/>
    <sheet name="2016" sheetId="38" r:id="rId10"/>
    <sheet name="2015" sheetId="37" r:id="rId11"/>
    <sheet name="2014" sheetId="36" r:id="rId12"/>
    <sheet name="2013" sheetId="35" r:id="rId13"/>
    <sheet name="2012" sheetId="34" r:id="rId14"/>
    <sheet name="2011" sheetId="33" r:id="rId15"/>
    <sheet name="2010" sheetId="30" r:id="rId16"/>
    <sheet name="2009" sheetId="29" r:id="rId17"/>
    <sheet name="2008" sheetId="27" r:id="rId18"/>
    <sheet name="2007" sheetId="24" r:id="rId19"/>
    <sheet name="2006" sheetId="1" r:id="rId20"/>
    <sheet name="2005" sheetId="2" r:id="rId21"/>
    <sheet name="2004" sheetId="3" r:id="rId22"/>
    <sheet name="2003" sheetId="7" r:id="rId23"/>
    <sheet name="2002" sheetId="6" r:id="rId24"/>
    <sheet name="2001" sheetId="5" r:id="rId25"/>
    <sheet name="2000" sheetId="4" r:id="rId26"/>
    <sheet name="1999" sheetId="13" r:id="rId27"/>
    <sheet name="1998" sheetId="12" r:id="rId28"/>
    <sheet name="1997" sheetId="11" r:id="rId29"/>
    <sheet name="1996" sheetId="10" r:id="rId30"/>
    <sheet name="1995" sheetId="9" r:id="rId31"/>
    <sheet name="1994" sheetId="8" r:id="rId32"/>
    <sheet name="1993" sheetId="19" r:id="rId33"/>
    <sheet name="1992" sheetId="18" r:id="rId34"/>
    <sheet name="1991" sheetId="17" r:id="rId35"/>
    <sheet name="1990" sheetId="16" r:id="rId36"/>
    <sheet name="1989" sheetId="15" r:id="rId37"/>
    <sheet name="1988" sheetId="14" r:id="rId38"/>
    <sheet name="1987" sheetId="22" r:id="rId39"/>
    <sheet name="1986" sheetId="21" r:id="rId40"/>
    <sheet name="1985" sheetId="20" r:id="rId41"/>
    <sheet name="54-84" sheetId="23" r:id="rId42"/>
  </sheets>
  <definedNames>
    <definedName name="_xlnm.Print_Area" localSheetId="19">'2006'!$A$45:$E$59</definedName>
    <definedName name="_xlnm.Print_Area" localSheetId="12">'2013'!$B$1:$P$66</definedName>
    <definedName name="_xlnm.Print_Area" localSheetId="10">'2015'!$A$1:$P$133</definedName>
    <definedName name="_xlnm.Print_Area" localSheetId="0">'GPS Coord.'!$A$1:$F$46</definedName>
    <definedName name="_xlnm.Print_Area" localSheetId="1">'Redd Summary'!$B$1:$M$45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49" l="1"/>
  <c r="K8" i="49"/>
  <c r="M15" i="49"/>
  <c r="K40" i="49"/>
  <c r="H45" i="49"/>
  <c r="M45" i="49" s="1"/>
  <c r="H44" i="49"/>
  <c r="M44" i="49" s="1"/>
  <c r="H43" i="49"/>
  <c r="M43" i="49" s="1"/>
  <c r="H42" i="49"/>
  <c r="M42" i="49" s="1"/>
  <c r="H41" i="49"/>
  <c r="M41" i="49" s="1"/>
  <c r="H40" i="49"/>
  <c r="M40" i="49" s="1"/>
  <c r="H39" i="49"/>
  <c r="K39" i="49" s="1"/>
  <c r="H38" i="49"/>
  <c r="K38" i="49" s="1"/>
  <c r="H37" i="49"/>
  <c r="M37" i="49" s="1"/>
  <c r="H36" i="49"/>
  <c r="M36" i="49" s="1"/>
  <c r="H35" i="49"/>
  <c r="M35" i="49" s="1"/>
  <c r="H34" i="49"/>
  <c r="M34" i="49" s="1"/>
  <c r="H33" i="49"/>
  <c r="M33" i="49" s="1"/>
  <c r="H32" i="49"/>
  <c r="M32" i="49" s="1"/>
  <c r="H31" i="49"/>
  <c r="K31" i="49" s="1"/>
  <c r="H30" i="49"/>
  <c r="K30" i="49" s="1"/>
  <c r="H29" i="49"/>
  <c r="M29" i="49" s="1"/>
  <c r="H28" i="49"/>
  <c r="M28" i="49" s="1"/>
  <c r="H27" i="49"/>
  <c r="M27" i="49" s="1"/>
  <c r="H26" i="49"/>
  <c r="M26" i="49" s="1"/>
  <c r="H25" i="49"/>
  <c r="M25" i="49" s="1"/>
  <c r="H24" i="49"/>
  <c r="M24" i="49" s="1"/>
  <c r="H23" i="49"/>
  <c r="K23" i="49" s="1"/>
  <c r="H22" i="49"/>
  <c r="K22" i="49" s="1"/>
  <c r="H21" i="49"/>
  <c r="M21" i="49" s="1"/>
  <c r="H20" i="49"/>
  <c r="M20" i="49" s="1"/>
  <c r="H19" i="49"/>
  <c r="M19" i="49" s="1"/>
  <c r="H18" i="49"/>
  <c r="M18" i="49" s="1"/>
  <c r="H17" i="49"/>
  <c r="M17" i="49" s="1"/>
  <c r="H16" i="49"/>
  <c r="M16" i="49" s="1"/>
  <c r="H15" i="49"/>
  <c r="K15" i="49" s="1"/>
  <c r="H14" i="49"/>
  <c r="K14" i="49" s="1"/>
  <c r="H13" i="49"/>
  <c r="M13" i="49" s="1"/>
  <c r="H12" i="49"/>
  <c r="M12" i="49" s="1"/>
  <c r="H11" i="49"/>
  <c r="M11" i="49" s="1"/>
  <c r="H10" i="49"/>
  <c r="M10" i="49" s="1"/>
  <c r="H9" i="49"/>
  <c r="M9" i="49" s="1"/>
  <c r="H8" i="49"/>
  <c r="K10" i="20"/>
  <c r="J10" i="20"/>
  <c r="I10" i="20"/>
  <c r="F10" i="20"/>
  <c r="H10" i="20" s="1"/>
  <c r="H9" i="20"/>
  <c r="H8" i="20"/>
  <c r="H7" i="20"/>
  <c r="H6" i="20"/>
  <c r="H5" i="20"/>
  <c r="H4" i="20"/>
  <c r="K38" i="21"/>
  <c r="J38" i="21"/>
  <c r="I38" i="21"/>
  <c r="F38" i="21"/>
  <c r="G38" i="21"/>
  <c r="H38" i="21" s="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K31" i="22"/>
  <c r="J31" i="22"/>
  <c r="I31" i="22"/>
  <c r="F31" i="22"/>
  <c r="G31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H4" i="22"/>
  <c r="K32" i="14"/>
  <c r="J32" i="14"/>
  <c r="I32" i="14"/>
  <c r="F32" i="14"/>
  <c r="G32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K35" i="15"/>
  <c r="J35" i="15"/>
  <c r="I35" i="15"/>
  <c r="F35" i="15"/>
  <c r="G35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K31" i="16"/>
  <c r="J31" i="16"/>
  <c r="I31" i="16"/>
  <c r="F31" i="16"/>
  <c r="G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K53" i="17"/>
  <c r="J53" i="17"/>
  <c r="I53" i="17"/>
  <c r="F53" i="17"/>
  <c r="G53" i="17"/>
  <c r="H53" i="17" s="1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K63" i="18"/>
  <c r="J63" i="18"/>
  <c r="I63" i="18"/>
  <c r="F63" i="18"/>
  <c r="H63" i="18" s="1"/>
  <c r="G63" i="18"/>
  <c r="H62" i="18"/>
  <c r="H61" i="18"/>
  <c r="H60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H45" i="18"/>
  <c r="H44" i="18"/>
  <c r="H43" i="18"/>
  <c r="H42" i="18"/>
  <c r="H41" i="18"/>
  <c r="H40" i="18"/>
  <c r="H39" i="18"/>
  <c r="H38" i="18"/>
  <c r="H37" i="18"/>
  <c r="H36" i="18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H6" i="18"/>
  <c r="H5" i="18"/>
  <c r="H4" i="18"/>
  <c r="K77" i="19"/>
  <c r="J77" i="19"/>
  <c r="I77" i="19"/>
  <c r="F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K47" i="8"/>
  <c r="J47" i="8"/>
  <c r="I47" i="8"/>
  <c r="F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G47" i="8"/>
  <c r="H47" i="8" s="1"/>
  <c r="K39" i="9"/>
  <c r="J39" i="9"/>
  <c r="I39" i="9"/>
  <c r="F39" i="9"/>
  <c r="H39" i="9" s="1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K77" i="10"/>
  <c r="J77" i="10"/>
  <c r="I77" i="10"/>
  <c r="F77" i="10"/>
  <c r="H77" i="10" s="1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52" i="11"/>
  <c r="J52" i="11"/>
  <c r="I52" i="11"/>
  <c r="F52" i="11"/>
  <c r="H52" i="11" s="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K58" i="12"/>
  <c r="J58" i="12"/>
  <c r="I58" i="12"/>
  <c r="F58" i="12"/>
  <c r="H58" i="12" s="1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F39" i="13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F51" i="4"/>
  <c r="K51" i="4"/>
  <c r="J51" i="4"/>
  <c r="I51" i="4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F72" i="5"/>
  <c r="K72" i="5"/>
  <c r="J72" i="5"/>
  <c r="I72" i="5"/>
  <c r="H73" i="6"/>
  <c r="F73" i="6"/>
  <c r="K73" i="6"/>
  <c r="J73" i="6"/>
  <c r="I73" i="6"/>
  <c r="K60" i="7"/>
  <c r="J60" i="7"/>
  <c r="I60" i="7"/>
  <c r="F60" i="7"/>
  <c r="H60" i="3"/>
  <c r="F60" i="3"/>
  <c r="K60" i="3"/>
  <c r="J60" i="3"/>
  <c r="I60" i="3"/>
  <c r="H52" i="2"/>
  <c r="F52" i="2"/>
  <c r="K52" i="2"/>
  <c r="J52" i="2"/>
  <c r="I52" i="2"/>
  <c r="G52" i="2"/>
  <c r="H42" i="1"/>
  <c r="H40" i="1"/>
  <c r="K42" i="1"/>
  <c r="J42" i="1"/>
  <c r="I42" i="1"/>
  <c r="F42" i="1"/>
  <c r="G42" i="1"/>
  <c r="H60" i="24"/>
  <c r="O60" i="24"/>
  <c r="N60" i="24"/>
  <c r="M60" i="24"/>
  <c r="L60" i="24"/>
  <c r="K60" i="24"/>
  <c r="J60" i="24"/>
  <c r="I60" i="24"/>
  <c r="F60" i="24"/>
  <c r="G60" i="24"/>
  <c r="H58" i="27"/>
  <c r="O58" i="27"/>
  <c r="N58" i="27"/>
  <c r="M58" i="27"/>
  <c r="L58" i="27"/>
  <c r="K58" i="27"/>
  <c r="J58" i="27"/>
  <c r="I58" i="27"/>
  <c r="G58" i="27"/>
  <c r="F58" i="27"/>
  <c r="H63" i="29"/>
  <c r="O63" i="29"/>
  <c r="N63" i="29"/>
  <c r="M63" i="29"/>
  <c r="L63" i="29"/>
  <c r="K63" i="29"/>
  <c r="J63" i="29"/>
  <c r="I63" i="29"/>
  <c r="G63" i="29"/>
  <c r="F63" i="29"/>
  <c r="H66" i="30"/>
  <c r="O66" i="30"/>
  <c r="N66" i="30"/>
  <c r="M66" i="30"/>
  <c r="L66" i="30"/>
  <c r="K66" i="30"/>
  <c r="J66" i="30"/>
  <c r="I66" i="30"/>
  <c r="G66" i="30"/>
  <c r="F66" i="30"/>
  <c r="I39" i="13"/>
  <c r="K39" i="13"/>
  <c r="J39" i="13"/>
  <c r="H56" i="48"/>
  <c r="G68" i="48"/>
  <c r="P68" i="48"/>
  <c r="O68" i="48"/>
  <c r="N68" i="48"/>
  <c r="M68" i="48"/>
  <c r="L68" i="48"/>
  <c r="K68" i="48"/>
  <c r="J68" i="48"/>
  <c r="I68" i="48"/>
  <c r="F68" i="48"/>
  <c r="H68" i="48" s="1"/>
  <c r="H67" i="48"/>
  <c r="H66" i="48"/>
  <c r="H65" i="48"/>
  <c r="H64" i="48"/>
  <c r="H63" i="48"/>
  <c r="H62" i="48"/>
  <c r="H61" i="48"/>
  <c r="H60" i="48"/>
  <c r="H59" i="48"/>
  <c r="H58" i="48"/>
  <c r="H57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9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H15" i="48"/>
  <c r="H14" i="48"/>
  <c r="H13" i="48"/>
  <c r="H12" i="48"/>
  <c r="H11" i="48"/>
  <c r="H10" i="48"/>
  <c r="H9" i="48"/>
  <c r="H8" i="48"/>
  <c r="H7" i="48"/>
  <c r="H6" i="48"/>
  <c r="H5" i="48"/>
  <c r="H4" i="48"/>
  <c r="P67" i="46"/>
  <c r="O67" i="46"/>
  <c r="N67" i="46"/>
  <c r="M67" i="46"/>
  <c r="L67" i="46"/>
  <c r="K67" i="46"/>
  <c r="J67" i="46"/>
  <c r="I67" i="46"/>
  <c r="H67" i="46"/>
  <c r="F67" i="46"/>
  <c r="G67" i="46"/>
  <c r="H35" i="46"/>
  <c r="H62" i="46"/>
  <c r="H14" i="46"/>
  <c r="H18" i="46"/>
  <c r="H10" i="46"/>
  <c r="H6" i="46"/>
  <c r="H9" i="46"/>
  <c r="H5" i="46"/>
  <c r="H17" i="46"/>
  <c r="H13" i="46"/>
  <c r="H28" i="46"/>
  <c r="H23" i="46"/>
  <c r="H8" i="46"/>
  <c r="H16" i="46"/>
  <c r="H12" i="46"/>
  <c r="H7" i="46"/>
  <c r="H4" i="46"/>
  <c r="H26" i="46"/>
  <c r="H21" i="46"/>
  <c r="H66" i="46"/>
  <c r="H65" i="46"/>
  <c r="H64" i="46"/>
  <c r="H63" i="46"/>
  <c r="H61" i="46"/>
  <c r="H60" i="46"/>
  <c r="H59" i="46"/>
  <c r="H58" i="46"/>
  <c r="H57" i="46"/>
  <c r="H56" i="46"/>
  <c r="H55" i="46"/>
  <c r="H54" i="46"/>
  <c r="H53" i="46"/>
  <c r="H52" i="46"/>
  <c r="H51" i="46"/>
  <c r="H50" i="46"/>
  <c r="H49" i="46"/>
  <c r="H48" i="46"/>
  <c r="H47" i="46"/>
  <c r="H46" i="46"/>
  <c r="H45" i="46"/>
  <c r="H44" i="46"/>
  <c r="H43" i="46"/>
  <c r="H42" i="46"/>
  <c r="H41" i="46"/>
  <c r="H40" i="46"/>
  <c r="H39" i="46"/>
  <c r="H38" i="46"/>
  <c r="H37" i="46"/>
  <c r="H36" i="46"/>
  <c r="H34" i="46"/>
  <c r="H33" i="46"/>
  <c r="H32" i="46"/>
  <c r="H31" i="46"/>
  <c r="H30" i="46"/>
  <c r="H29" i="46"/>
  <c r="H27" i="46"/>
  <c r="H25" i="46"/>
  <c r="H24" i="46"/>
  <c r="H22" i="46"/>
  <c r="H20" i="46"/>
  <c r="H19" i="46"/>
  <c r="H15" i="46"/>
  <c r="H11" i="46"/>
  <c r="H26" i="45"/>
  <c r="H17" i="45"/>
  <c r="H34" i="45"/>
  <c r="H11" i="45"/>
  <c r="H8" i="45"/>
  <c r="H42" i="45"/>
  <c r="H38" i="45"/>
  <c r="H25" i="45"/>
  <c r="H16" i="45"/>
  <c r="H33" i="45"/>
  <c r="H7" i="45"/>
  <c r="H10" i="45"/>
  <c r="H32" i="45"/>
  <c r="H24" i="45"/>
  <c r="H15" i="45"/>
  <c r="H41" i="45"/>
  <c r="H37" i="45"/>
  <c r="H31" i="45"/>
  <c r="H23" i="45"/>
  <c r="H40" i="45"/>
  <c r="H36" i="45"/>
  <c r="H30" i="45"/>
  <c r="H22" i="45"/>
  <c r="H19" i="45"/>
  <c r="H13" i="45"/>
  <c r="H18" i="45"/>
  <c r="H12" i="45"/>
  <c r="H27" i="45"/>
  <c r="H20" i="45"/>
  <c r="H28" i="45"/>
  <c r="P54" i="45"/>
  <c r="O54" i="45"/>
  <c r="N54" i="45"/>
  <c r="M54" i="45"/>
  <c r="L54" i="45"/>
  <c r="K54" i="45"/>
  <c r="J54" i="45"/>
  <c r="I54" i="45"/>
  <c r="G54" i="45"/>
  <c r="H54" i="45"/>
  <c r="F54" i="45"/>
  <c r="H53" i="45"/>
  <c r="H52" i="45"/>
  <c r="H51" i="45"/>
  <c r="H50" i="45"/>
  <c r="H49" i="45"/>
  <c r="H48" i="45"/>
  <c r="H47" i="45"/>
  <c r="H46" i="45"/>
  <c r="H45" i="45"/>
  <c r="H44" i="45"/>
  <c r="H43" i="45"/>
  <c r="H39" i="45"/>
  <c r="H35" i="45"/>
  <c r="H29" i="45"/>
  <c r="H21" i="45"/>
  <c r="H14" i="45"/>
  <c r="H9" i="45"/>
  <c r="H6" i="45"/>
  <c r="H5" i="45"/>
  <c r="H4" i="45"/>
  <c r="H54" i="44"/>
  <c r="H51" i="44"/>
  <c r="H44" i="44"/>
  <c r="H33" i="44"/>
  <c r="H43" i="44"/>
  <c r="H32" i="44"/>
  <c r="H23" i="44"/>
  <c r="H17" i="44"/>
  <c r="H11" i="44"/>
  <c r="H7" i="44"/>
  <c r="H10" i="44"/>
  <c r="H53" i="44"/>
  <c r="H50" i="44"/>
  <c r="H9" i="44"/>
  <c r="H22" i="44"/>
  <c r="H16" i="44"/>
  <c r="H42" i="44"/>
  <c r="H31" i="44"/>
  <c r="H40" i="44"/>
  <c r="H29" i="44"/>
  <c r="H41" i="44"/>
  <c r="H30" i="44"/>
  <c r="H21" i="44"/>
  <c r="H15" i="44"/>
  <c r="H20" i="44"/>
  <c r="H14" i="44"/>
  <c r="H49" i="44"/>
  <c r="H39" i="44"/>
  <c r="H28" i="44"/>
  <c r="H19" i="44"/>
  <c r="H13" i="44"/>
  <c r="H47" i="44"/>
  <c r="H46" i="44"/>
  <c r="H34" i="44"/>
  <c r="H24" i="44"/>
  <c r="H45" i="44"/>
  <c r="H35" i="44"/>
  <c r="H25" i="44"/>
  <c r="H36" i="44"/>
  <c r="H26" i="44"/>
  <c r="H37" i="44"/>
  <c r="P67" i="44"/>
  <c r="O67" i="44"/>
  <c r="N67" i="44"/>
  <c r="M67" i="44"/>
  <c r="L67" i="44"/>
  <c r="K67" i="44"/>
  <c r="J67" i="44"/>
  <c r="I67" i="44"/>
  <c r="G67" i="44"/>
  <c r="H67" i="44"/>
  <c r="F67" i="44"/>
  <c r="H66" i="44"/>
  <c r="H65" i="44"/>
  <c r="H64" i="44"/>
  <c r="H63" i="44"/>
  <c r="H62" i="44"/>
  <c r="H61" i="44"/>
  <c r="H60" i="44"/>
  <c r="H59" i="44"/>
  <c r="H58" i="44"/>
  <c r="H57" i="44"/>
  <c r="H56" i="44"/>
  <c r="H55" i="44"/>
  <c r="H52" i="44"/>
  <c r="H48" i="44"/>
  <c r="H38" i="44"/>
  <c r="H27" i="44"/>
  <c r="H18" i="44"/>
  <c r="H12" i="44"/>
  <c r="H8" i="44"/>
  <c r="H6" i="44"/>
  <c r="H5" i="44"/>
  <c r="H4" i="44"/>
  <c r="H104" i="42"/>
  <c r="H99" i="42"/>
  <c r="H89" i="42"/>
  <c r="H78" i="42"/>
  <c r="H63" i="42"/>
  <c r="H98" i="42"/>
  <c r="H103" i="42"/>
  <c r="H29" i="42"/>
  <c r="H21" i="42"/>
  <c r="H14" i="42"/>
  <c r="H9" i="42"/>
  <c r="H30" i="42"/>
  <c r="H22" i="42"/>
  <c r="H77" i="42"/>
  <c r="H62" i="42"/>
  <c r="H13" i="42"/>
  <c r="H8" i="42"/>
  <c r="H50" i="42"/>
  <c r="H40" i="42"/>
  <c r="H12" i="42"/>
  <c r="H102" i="42"/>
  <c r="H97" i="42"/>
  <c r="H96" i="42"/>
  <c r="H7" i="42"/>
  <c r="H49" i="42"/>
  <c r="H39" i="42"/>
  <c r="H88" i="42"/>
  <c r="H76" i="42"/>
  <c r="H61" i="42"/>
  <c r="H28" i="42"/>
  <c r="H20" i="42"/>
  <c r="H87" i="42"/>
  <c r="H11" i="42"/>
  <c r="H27" i="42"/>
  <c r="H19" i="42"/>
  <c r="H6" i="42"/>
  <c r="H75" i="42"/>
  <c r="H60" i="42"/>
  <c r="H48" i="42"/>
  <c r="H38" i="42"/>
  <c r="H101" i="42"/>
  <c r="H95" i="42"/>
  <c r="H86" i="42"/>
  <c r="H26" i="42"/>
  <c r="H18" i="42"/>
  <c r="H74" i="42"/>
  <c r="H59" i="42"/>
  <c r="H47" i="42"/>
  <c r="H37" i="42"/>
  <c r="H64" i="42"/>
  <c r="H73" i="42"/>
  <c r="H58" i="42"/>
  <c r="H46" i="42"/>
  <c r="H36" i="42"/>
  <c r="H25" i="42"/>
  <c r="H17" i="42"/>
  <c r="H94" i="42"/>
  <c r="H85" i="42"/>
  <c r="H93" i="42"/>
  <c r="H92" i="42"/>
  <c r="H84" i="42"/>
  <c r="H83" i="42"/>
  <c r="H82" i="42"/>
  <c r="H24" i="42"/>
  <c r="H16" i="42"/>
  <c r="H45" i="42"/>
  <c r="H44" i="42"/>
  <c r="H35" i="42"/>
  <c r="H72" i="42"/>
  <c r="H57" i="42"/>
  <c r="H91" i="42"/>
  <c r="H81" i="42"/>
  <c r="H80" i="42"/>
  <c r="H71" i="42"/>
  <c r="H70" i="42"/>
  <c r="H69" i="42"/>
  <c r="H68" i="42"/>
  <c r="H67" i="42"/>
  <c r="H66" i="42"/>
  <c r="H56" i="42"/>
  <c r="H55" i="42"/>
  <c r="H54" i="42"/>
  <c r="H53" i="42"/>
  <c r="H52" i="42"/>
  <c r="H43" i="42"/>
  <c r="H42" i="42"/>
  <c r="H34" i="42"/>
  <c r="H33" i="42"/>
  <c r="H32" i="42"/>
  <c r="P116" i="42"/>
  <c r="O116" i="42"/>
  <c r="N116" i="42"/>
  <c r="M116" i="42"/>
  <c r="L116" i="42"/>
  <c r="K116" i="42"/>
  <c r="J116" i="42"/>
  <c r="I116" i="42"/>
  <c r="G116" i="42"/>
  <c r="F116" i="42"/>
  <c r="H116" i="42"/>
  <c r="H115" i="42"/>
  <c r="H114" i="42"/>
  <c r="H113" i="42"/>
  <c r="H112" i="42"/>
  <c r="H111" i="42"/>
  <c r="H110" i="42"/>
  <c r="H109" i="42"/>
  <c r="H108" i="42"/>
  <c r="H107" i="42"/>
  <c r="H106" i="42"/>
  <c r="H105" i="42"/>
  <c r="H100" i="42"/>
  <c r="H90" i="42"/>
  <c r="H79" i="42"/>
  <c r="H65" i="42"/>
  <c r="H51" i="42"/>
  <c r="H41" i="42"/>
  <c r="H31" i="42"/>
  <c r="H23" i="42"/>
  <c r="H15" i="42"/>
  <c r="H10" i="42"/>
  <c r="H5" i="42"/>
  <c r="H4" i="42"/>
  <c r="P95" i="41"/>
  <c r="O95" i="41"/>
  <c r="N95" i="41"/>
  <c r="M95" i="41"/>
  <c r="L95" i="41"/>
  <c r="K95" i="41"/>
  <c r="J95" i="41"/>
  <c r="I95" i="41"/>
  <c r="G95" i="41"/>
  <c r="H95" i="41"/>
  <c r="F95" i="41"/>
  <c r="H86" i="41"/>
  <c r="H84" i="41"/>
  <c r="H72" i="41"/>
  <c r="H71" i="41"/>
  <c r="H65" i="41"/>
  <c r="H54" i="41"/>
  <c r="H64" i="41"/>
  <c r="H53" i="41"/>
  <c r="H63" i="41"/>
  <c r="H45" i="41"/>
  <c r="H36" i="41"/>
  <c r="H44" i="41"/>
  <c r="H35" i="41"/>
  <c r="H27" i="41"/>
  <c r="H21" i="41"/>
  <c r="H15" i="41"/>
  <c r="H9" i="41"/>
  <c r="H14" i="41"/>
  <c r="H8" i="41"/>
  <c r="H13" i="41"/>
  <c r="H7" i="41"/>
  <c r="H4" i="41"/>
  <c r="H26" i="41"/>
  <c r="H20" i="41"/>
  <c r="H43" i="41"/>
  <c r="H34" i="41"/>
  <c r="H25" i="41"/>
  <c r="H19" i="41"/>
  <c r="H70" i="41"/>
  <c r="H6" i="41"/>
  <c r="H42" i="41"/>
  <c r="H33" i="41"/>
  <c r="H69" i="41"/>
  <c r="H61" i="41"/>
  <c r="H50" i="41"/>
  <c r="H24" i="41"/>
  <c r="H18" i="41"/>
  <c r="H68" i="41"/>
  <c r="H67" i="41"/>
  <c r="H57" i="41"/>
  <c r="H94" i="41"/>
  <c r="H93" i="41"/>
  <c r="H92" i="41"/>
  <c r="H91" i="41"/>
  <c r="H90" i="41"/>
  <c r="H89" i="41"/>
  <c r="H88" i="41"/>
  <c r="H87" i="41"/>
  <c r="H85" i="41"/>
  <c r="H83" i="41"/>
  <c r="H82" i="41"/>
  <c r="H81" i="41"/>
  <c r="H80" i="41"/>
  <c r="H79" i="41"/>
  <c r="H78" i="41"/>
  <c r="H77" i="41"/>
  <c r="H76" i="41"/>
  <c r="H75" i="41"/>
  <c r="H74" i="41"/>
  <c r="H73" i="41"/>
  <c r="H66" i="41"/>
  <c r="H62" i="41"/>
  <c r="H60" i="41"/>
  <c r="H59" i="41"/>
  <c r="H58" i="41"/>
  <c r="H56" i="41"/>
  <c r="H55" i="41"/>
  <c r="H52" i="41"/>
  <c r="H51" i="41"/>
  <c r="H49" i="41"/>
  <c r="H48" i="41"/>
  <c r="H47" i="41"/>
  <c r="H46" i="41"/>
  <c r="H41" i="41"/>
  <c r="H40" i="41"/>
  <c r="H39" i="41"/>
  <c r="H38" i="41"/>
  <c r="H37" i="41"/>
  <c r="H32" i="41"/>
  <c r="H31" i="41"/>
  <c r="H30" i="41"/>
  <c r="H29" i="41"/>
  <c r="H28" i="41"/>
  <c r="H23" i="41"/>
  <c r="H22" i="41"/>
  <c r="H17" i="41"/>
  <c r="H16" i="41"/>
  <c r="H12" i="41"/>
  <c r="H11" i="41"/>
  <c r="H10" i="41"/>
  <c r="H5" i="41"/>
  <c r="O65" i="34"/>
  <c r="N65" i="34"/>
  <c r="M65" i="34"/>
  <c r="L65" i="34"/>
  <c r="K65" i="34"/>
  <c r="J65" i="34"/>
  <c r="I65" i="34"/>
  <c r="F65" i="34"/>
  <c r="F67" i="35"/>
  <c r="H55" i="40"/>
  <c r="H54" i="40"/>
  <c r="H53" i="40"/>
  <c r="H52" i="40"/>
  <c r="H45" i="40"/>
  <c r="H49" i="40"/>
  <c r="H42" i="40"/>
  <c r="H41" i="40"/>
  <c r="H40" i="40"/>
  <c r="H51" i="40"/>
  <c r="H50" i="40"/>
  <c r="H48" i="40"/>
  <c r="H47" i="40"/>
  <c r="H46" i="40"/>
  <c r="H44" i="40"/>
  <c r="H43" i="40"/>
  <c r="H39" i="40"/>
  <c r="H38" i="40"/>
  <c r="H37" i="40"/>
  <c r="H36" i="40"/>
  <c r="H35" i="40"/>
  <c r="H34" i="40"/>
  <c r="H33" i="40"/>
  <c r="H27" i="40"/>
  <c r="H32" i="40"/>
  <c r="H26" i="40"/>
  <c r="H31" i="40"/>
  <c r="H25" i="40"/>
  <c r="H30" i="40"/>
  <c r="H24" i="40"/>
  <c r="H11" i="40"/>
  <c r="H9" i="40"/>
  <c r="H10" i="40"/>
  <c r="H8" i="40"/>
  <c r="H7" i="40"/>
  <c r="H6" i="40"/>
  <c r="H4" i="40"/>
  <c r="H21" i="40"/>
  <c r="H16" i="40"/>
  <c r="H20" i="40"/>
  <c r="H15" i="40"/>
  <c r="H18" i="40"/>
  <c r="H13" i="40"/>
  <c r="H19" i="40"/>
  <c r="H14" i="40"/>
  <c r="P56" i="40"/>
  <c r="O56" i="40"/>
  <c r="N56" i="40"/>
  <c r="M56" i="40"/>
  <c r="L56" i="40"/>
  <c r="K56" i="40"/>
  <c r="J56" i="40"/>
  <c r="I56" i="40"/>
  <c r="G56" i="40"/>
  <c r="F56" i="40"/>
  <c r="H56" i="40"/>
  <c r="H5" i="40"/>
  <c r="H29" i="40"/>
  <c r="H23" i="40"/>
  <c r="H17" i="40"/>
  <c r="H12" i="40"/>
  <c r="H28" i="40"/>
  <c r="H22" i="40"/>
  <c r="E25" i="25"/>
  <c r="P84" i="38"/>
  <c r="O84" i="38"/>
  <c r="N84" i="38"/>
  <c r="M84" i="38"/>
  <c r="L84" i="38"/>
  <c r="K84" i="38"/>
  <c r="J84" i="38"/>
  <c r="I84" i="38"/>
  <c r="F84" i="38"/>
  <c r="G84" i="38"/>
  <c r="H84" i="38"/>
  <c r="H83" i="38"/>
  <c r="H82" i="38"/>
  <c r="H81" i="38"/>
  <c r="H80" i="38"/>
  <c r="H79" i="38"/>
  <c r="H78" i="38"/>
  <c r="H77" i="38"/>
  <c r="H76" i="38"/>
  <c r="H75" i="38"/>
  <c r="H74" i="38"/>
  <c r="H73" i="38"/>
  <c r="H72" i="38"/>
  <c r="H71" i="38"/>
  <c r="H70" i="38"/>
  <c r="H69" i="38"/>
  <c r="H68" i="38"/>
  <c r="H67" i="38"/>
  <c r="H65" i="38"/>
  <c r="H64" i="38"/>
  <c r="H63" i="38"/>
  <c r="H62" i="38"/>
  <c r="H58" i="38"/>
  <c r="H57" i="38"/>
  <c r="H56" i="38"/>
  <c r="H55" i="38"/>
  <c r="H52" i="38"/>
  <c r="H44" i="38"/>
  <c r="H38" i="38"/>
  <c r="H37" i="38"/>
  <c r="H29" i="38"/>
  <c r="H28" i="38"/>
  <c r="H20" i="38"/>
  <c r="H19" i="38"/>
  <c r="H18" i="38"/>
  <c r="H16" i="38"/>
  <c r="H15" i="38"/>
  <c r="H14" i="38"/>
  <c r="H17" i="38"/>
  <c r="H13" i="38"/>
  <c r="H12" i="38"/>
  <c r="H8" i="38"/>
  <c r="H7" i="38"/>
  <c r="H11" i="38"/>
  <c r="H4" i="38"/>
  <c r="H51" i="38"/>
  <c r="H43" i="38"/>
  <c r="H50" i="38"/>
  <c r="H42" i="38"/>
  <c r="H36" i="38"/>
  <c r="H27" i="38"/>
  <c r="H66" i="38"/>
  <c r="H10" i="38"/>
  <c r="H6" i="38"/>
  <c r="H9" i="38"/>
  <c r="H5" i="38"/>
  <c r="H35" i="38"/>
  <c r="H26" i="38"/>
  <c r="H49" i="38"/>
  <c r="H41" i="38"/>
  <c r="H61" i="38"/>
  <c r="H60" i="38"/>
  <c r="H59" i="38"/>
  <c r="H54" i="38"/>
  <c r="H53" i="38"/>
  <c r="H48" i="38"/>
  <c r="H47" i="38"/>
  <c r="H46" i="38"/>
  <c r="H45" i="38"/>
  <c r="H40" i="38"/>
  <c r="H39" i="38"/>
  <c r="H34" i="38"/>
  <c r="H33" i="38"/>
  <c r="H32" i="38"/>
  <c r="H31" i="38"/>
  <c r="H30" i="38"/>
  <c r="H25" i="38"/>
  <c r="H24" i="38"/>
  <c r="H23" i="38"/>
  <c r="H22" i="38"/>
  <c r="H21" i="38"/>
  <c r="P133" i="37"/>
  <c r="O133" i="37"/>
  <c r="N133" i="37"/>
  <c r="M133" i="37"/>
  <c r="L133" i="37"/>
  <c r="K133" i="37"/>
  <c r="J133" i="37"/>
  <c r="I133" i="37"/>
  <c r="G133" i="37"/>
  <c r="H133" i="37"/>
  <c r="F133" i="37"/>
  <c r="H118" i="37"/>
  <c r="H102" i="37"/>
  <c r="H101" i="37"/>
  <c r="H100" i="37"/>
  <c r="H93" i="37"/>
  <c r="H77" i="37"/>
  <c r="H30" i="37"/>
  <c r="H23" i="37"/>
  <c r="H29" i="37"/>
  <c r="H22" i="37"/>
  <c r="H5" i="37"/>
  <c r="H132" i="37"/>
  <c r="H131" i="37"/>
  <c r="H130" i="37"/>
  <c r="H129" i="37"/>
  <c r="H128" i="37"/>
  <c r="H127" i="37"/>
  <c r="H125" i="37"/>
  <c r="H124" i="37"/>
  <c r="H123" i="37"/>
  <c r="H126" i="37"/>
  <c r="H112" i="37"/>
  <c r="H111" i="37"/>
  <c r="H110" i="37"/>
  <c r="H122" i="37"/>
  <c r="H121" i="37"/>
  <c r="H120" i="37"/>
  <c r="H117" i="37"/>
  <c r="H116" i="37"/>
  <c r="H109" i="37"/>
  <c r="H92" i="37"/>
  <c r="H76" i="37"/>
  <c r="H91" i="37"/>
  <c r="H75" i="37"/>
  <c r="H78" i="37"/>
  <c r="H28" i="37"/>
  <c r="H21" i="37"/>
  <c r="H27" i="37"/>
  <c r="H20" i="37"/>
  <c r="H26" i="37"/>
  <c r="H19" i="37"/>
  <c r="H16" i="37"/>
  <c r="H10" i="37"/>
  <c r="H6" i="37"/>
  <c r="H61" i="37"/>
  <c r="H45" i="37"/>
  <c r="H60" i="37"/>
  <c r="H44" i="37"/>
  <c r="H15" i="37"/>
  <c r="H9" i="37"/>
  <c r="H59" i="37"/>
  <c r="H43" i="37"/>
  <c r="H90" i="37"/>
  <c r="H74" i="37"/>
  <c r="H119" i="37"/>
  <c r="H115" i="37"/>
  <c r="H4" i="37"/>
  <c r="H14" i="37"/>
  <c r="H8" i="37"/>
  <c r="H58" i="37"/>
  <c r="H42" i="37"/>
  <c r="H13" i="37"/>
  <c r="H7" i="37"/>
  <c r="H57" i="37"/>
  <c r="H41" i="37"/>
  <c r="H89" i="37"/>
  <c r="H73" i="37"/>
  <c r="H56" i="37"/>
  <c r="H40" i="37"/>
  <c r="H12" i="37"/>
  <c r="H25" i="37"/>
  <c r="H18" i="37"/>
  <c r="H88" i="37"/>
  <c r="H72" i="37"/>
  <c r="H55" i="37"/>
  <c r="H39" i="37"/>
  <c r="H87" i="37"/>
  <c r="H71" i="37"/>
  <c r="H54" i="37"/>
  <c r="H38" i="37"/>
  <c r="G10" i="20"/>
  <c r="G77" i="19"/>
  <c r="G39" i="9"/>
  <c r="G77" i="10"/>
  <c r="G52" i="11"/>
  <c r="G58" i="12"/>
  <c r="G39" i="13"/>
  <c r="H39" i="13" s="1"/>
  <c r="G51" i="4"/>
  <c r="G72" i="5"/>
  <c r="G73" i="6"/>
  <c r="G60" i="7"/>
  <c r="H60" i="7" s="1"/>
  <c r="G60" i="3"/>
  <c r="G65" i="34"/>
  <c r="H65" i="34"/>
  <c r="H108" i="37"/>
  <c r="H99" i="37"/>
  <c r="H53" i="37"/>
  <c r="H37" i="37"/>
  <c r="H86" i="37"/>
  <c r="H70" i="37"/>
  <c r="H11" i="37"/>
  <c r="H62" i="37"/>
  <c r="H107" i="37"/>
  <c r="H98" i="37"/>
  <c r="H85" i="37"/>
  <c r="H69" i="37"/>
  <c r="H52" i="37"/>
  <c r="H36" i="37"/>
  <c r="H114" i="37"/>
  <c r="H51" i="37"/>
  <c r="H35" i="37"/>
  <c r="H84" i="37"/>
  <c r="H68" i="37"/>
  <c r="H24" i="37"/>
  <c r="H17" i="37"/>
  <c r="H106" i="37"/>
  <c r="H97" i="37"/>
  <c r="H50" i="37"/>
  <c r="H34" i="37"/>
  <c r="H113" i="37"/>
  <c r="H105" i="37"/>
  <c r="H96" i="37"/>
  <c r="H104" i="37"/>
  <c r="H95" i="37"/>
  <c r="H103" i="37"/>
  <c r="H49" i="37"/>
  <c r="H33" i="37"/>
  <c r="H48" i="37"/>
  <c r="H47" i="37"/>
  <c r="H32" i="37"/>
  <c r="H46" i="37"/>
  <c r="H31" i="37"/>
  <c r="H83" i="37"/>
  <c r="H67" i="37"/>
  <c r="H66" i="37"/>
  <c r="H82" i="37"/>
  <c r="H65" i="37"/>
  <c r="H81" i="37"/>
  <c r="H64" i="37"/>
  <c r="H80" i="37"/>
  <c r="H63" i="37"/>
  <c r="H79" i="37"/>
  <c r="H94" i="37"/>
  <c r="P100" i="36"/>
  <c r="O100" i="36"/>
  <c r="N100" i="36"/>
  <c r="M100" i="36"/>
  <c r="L100" i="36"/>
  <c r="K100" i="36"/>
  <c r="J100" i="36"/>
  <c r="I100" i="36"/>
  <c r="G100" i="36"/>
  <c r="F100" i="36"/>
  <c r="H100" i="36"/>
  <c r="H99" i="36"/>
  <c r="H98" i="36"/>
  <c r="H97" i="36"/>
  <c r="H96" i="36"/>
  <c r="H95" i="36"/>
  <c r="H94" i="36"/>
  <c r="H93" i="36"/>
  <c r="H92" i="36"/>
  <c r="H91" i="36"/>
  <c r="H90" i="36"/>
  <c r="H89" i="36"/>
  <c r="H88" i="36"/>
  <c r="H87" i="36"/>
  <c r="H86" i="36"/>
  <c r="H85" i="36"/>
  <c r="H84" i="36"/>
  <c r="H83" i="36"/>
  <c r="H82" i="36"/>
  <c r="H80" i="36"/>
  <c r="H79" i="36"/>
  <c r="H78" i="36"/>
  <c r="H77" i="36"/>
  <c r="H74" i="36"/>
  <c r="H73" i="36"/>
  <c r="H72" i="36"/>
  <c r="H71" i="36"/>
  <c r="H59" i="36"/>
  <c r="H58" i="36"/>
  <c r="H57" i="36"/>
  <c r="H56" i="36"/>
  <c r="H44" i="36"/>
  <c r="H43" i="36"/>
  <c r="H42" i="36"/>
  <c r="H41" i="36"/>
  <c r="H33" i="36"/>
  <c r="H32" i="36"/>
  <c r="H31" i="36"/>
  <c r="H30" i="36"/>
  <c r="H22" i="36"/>
  <c r="H17" i="36"/>
  <c r="H12" i="36"/>
  <c r="H7" i="36"/>
  <c r="H21" i="36"/>
  <c r="H16" i="36"/>
  <c r="H20" i="36"/>
  <c r="H15" i="36"/>
  <c r="H19" i="36"/>
  <c r="H14" i="36"/>
  <c r="H11" i="36"/>
  <c r="H6" i="36"/>
  <c r="H10" i="36"/>
  <c r="H5" i="36"/>
  <c r="H76" i="36"/>
  <c r="H75" i="36"/>
  <c r="H40" i="36"/>
  <c r="H29" i="36"/>
  <c r="H39" i="36"/>
  <c r="H28" i="36"/>
  <c r="H38" i="36"/>
  <c r="H27" i="36"/>
  <c r="H37" i="36"/>
  <c r="H26" i="36"/>
  <c r="H36" i="36"/>
  <c r="H25" i="36"/>
  <c r="H35" i="36"/>
  <c r="H24" i="36"/>
  <c r="H34" i="36"/>
  <c r="H23" i="36"/>
  <c r="H68" i="36"/>
  <c r="H53" i="36"/>
  <c r="H67" i="36"/>
  <c r="H52" i="36"/>
  <c r="H66" i="36"/>
  <c r="H51" i="36"/>
  <c r="H65" i="36"/>
  <c r="H50" i="36"/>
  <c r="H64" i="36"/>
  <c r="H49" i="36"/>
  <c r="H63" i="36"/>
  <c r="H48" i="36"/>
  <c r="H62" i="36"/>
  <c r="H47" i="36"/>
  <c r="H61" i="36"/>
  <c r="H46" i="36"/>
  <c r="H60" i="36"/>
  <c r="H45" i="36"/>
  <c r="H81" i="36"/>
  <c r="H18" i="36"/>
  <c r="H13" i="36"/>
  <c r="H8" i="36"/>
  <c r="H9" i="36"/>
  <c r="H69" i="36"/>
  <c r="H54" i="36"/>
  <c r="H70" i="36"/>
  <c r="H55" i="36"/>
  <c r="H4" i="36"/>
  <c r="G67" i="35"/>
  <c r="H67" i="35"/>
  <c r="I67" i="35"/>
  <c r="P67" i="35"/>
  <c r="O67" i="35"/>
  <c r="N67" i="35"/>
  <c r="M67" i="35"/>
  <c r="L67" i="35"/>
  <c r="K67" i="35"/>
  <c r="J67" i="35"/>
  <c r="H66" i="35"/>
  <c r="H65" i="35"/>
  <c r="H64" i="35"/>
  <c r="H63" i="35"/>
  <c r="H62" i="35"/>
  <c r="H61" i="35"/>
  <c r="H60" i="35"/>
  <c r="H59" i="35"/>
  <c r="H58" i="35"/>
  <c r="H57" i="35"/>
  <c r="H56" i="35"/>
  <c r="H55" i="35"/>
  <c r="H54" i="35"/>
  <c r="H53" i="35"/>
  <c r="H52" i="35"/>
  <c r="H51" i="35"/>
  <c r="H50" i="35"/>
  <c r="H49" i="35"/>
  <c r="H48" i="35"/>
  <c r="H47" i="35"/>
  <c r="H46" i="35"/>
  <c r="H45" i="35"/>
  <c r="H43" i="35"/>
  <c r="H37" i="35"/>
  <c r="H42" i="35"/>
  <c r="H36" i="35"/>
  <c r="H41" i="35"/>
  <c r="H35" i="35"/>
  <c r="H40" i="35"/>
  <c r="H34" i="35"/>
  <c r="H39" i="35"/>
  <c r="H33" i="35"/>
  <c r="H44" i="35"/>
  <c r="H38" i="35"/>
  <c r="H31" i="35"/>
  <c r="H25" i="35"/>
  <c r="H30" i="35"/>
  <c r="H24" i="35"/>
  <c r="H29" i="35"/>
  <c r="H23" i="35"/>
  <c r="H28" i="35"/>
  <c r="H22" i="35"/>
  <c r="H27" i="35"/>
  <c r="H21" i="35"/>
  <c r="H32" i="35"/>
  <c r="H26" i="35"/>
  <c r="H20" i="35"/>
  <c r="H15" i="35"/>
  <c r="H19" i="35"/>
  <c r="H14" i="35"/>
  <c r="H18" i="35"/>
  <c r="H13" i="35"/>
  <c r="H17" i="35"/>
  <c r="H12" i="35"/>
  <c r="H16" i="35"/>
  <c r="H11" i="35"/>
  <c r="H10" i="35"/>
  <c r="H9" i="35"/>
  <c r="H8" i="35"/>
  <c r="H7" i="35"/>
  <c r="H5" i="35"/>
  <c r="H6" i="35"/>
  <c r="H4" i="35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41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62" i="34"/>
  <c r="H61" i="34"/>
  <c r="H57" i="34"/>
  <c r="H63" i="34"/>
  <c r="H64" i="34"/>
  <c r="H60" i="34"/>
  <c r="H59" i="34"/>
  <c r="H58" i="34"/>
  <c r="H53" i="34"/>
  <c r="H52" i="34"/>
  <c r="H50" i="34"/>
  <c r="H49" i="34"/>
  <c r="H47" i="34"/>
  <c r="H42" i="34"/>
  <c r="H35" i="34"/>
  <c r="H56" i="34"/>
  <c r="H55" i="34"/>
  <c r="H54" i="34"/>
  <c r="H51" i="34"/>
  <c r="H11" i="34"/>
  <c r="H7" i="34"/>
  <c r="H48" i="34"/>
  <c r="H46" i="34"/>
  <c r="H45" i="34"/>
  <c r="H44" i="34"/>
  <c r="H41" i="34"/>
  <c r="H34" i="34"/>
  <c r="H40" i="34"/>
  <c r="H33" i="34"/>
  <c r="H39" i="34"/>
  <c r="H32" i="34"/>
  <c r="H38" i="34"/>
  <c r="H31" i="34"/>
  <c r="H19" i="34"/>
  <c r="H15" i="34"/>
  <c r="H18" i="34"/>
  <c r="H14" i="34"/>
  <c r="H17" i="34"/>
  <c r="H13" i="34"/>
  <c r="H16" i="34"/>
  <c r="H12" i="34"/>
  <c r="H29" i="34"/>
  <c r="H24" i="34"/>
  <c r="H28" i="34"/>
  <c r="H23" i="34"/>
  <c r="H27" i="34"/>
  <c r="H22" i="34"/>
  <c r="H26" i="34"/>
  <c r="H21" i="34"/>
  <c r="H20" i="34"/>
  <c r="H10" i="34"/>
  <c r="H6" i="34"/>
  <c r="H9" i="34"/>
  <c r="H5" i="34"/>
  <c r="H8" i="34"/>
  <c r="H4" i="34"/>
  <c r="H37" i="34"/>
  <c r="H43" i="34"/>
  <c r="H36" i="34"/>
  <c r="H30" i="34"/>
  <c r="H25" i="34"/>
  <c r="H53" i="33"/>
  <c r="F59" i="33"/>
  <c r="O59" i="33"/>
  <c r="N59" i="33"/>
  <c r="M59" i="33"/>
  <c r="L59" i="33"/>
  <c r="K59" i="33"/>
  <c r="J59" i="33"/>
  <c r="I59" i="33"/>
  <c r="G59" i="33"/>
  <c r="H59" i="33"/>
  <c r="H58" i="33"/>
  <c r="H57" i="33"/>
  <c r="H56" i="33"/>
  <c r="H55" i="33"/>
  <c r="H54" i="33"/>
  <c r="H52" i="33"/>
  <c r="H51" i="33"/>
  <c r="H50" i="33"/>
  <c r="H48" i="33"/>
  <c r="H49" i="33"/>
  <c r="H47" i="33"/>
  <c r="H46" i="33"/>
  <c r="H45" i="33"/>
  <c r="H44" i="33"/>
  <c r="H43" i="33"/>
  <c r="H42" i="33"/>
  <c r="H41" i="33"/>
  <c r="H40" i="33"/>
  <c r="H39" i="33"/>
  <c r="H38" i="33"/>
  <c r="H37" i="33"/>
  <c r="H36" i="33"/>
  <c r="H31" i="33"/>
  <c r="H35" i="33"/>
  <c r="H30" i="33"/>
  <c r="H34" i="33"/>
  <c r="H29" i="33"/>
  <c r="H33" i="33"/>
  <c r="H28" i="33"/>
  <c r="H32" i="33"/>
  <c r="H27" i="33"/>
  <c r="H26" i="33"/>
  <c r="H22" i="33"/>
  <c r="H25" i="33"/>
  <c r="H21" i="33"/>
  <c r="H24" i="33"/>
  <c r="H20" i="33"/>
  <c r="H23" i="33"/>
  <c r="H19" i="33"/>
  <c r="H18" i="33"/>
  <c r="H14" i="33"/>
  <c r="H17" i="33"/>
  <c r="H13" i="33"/>
  <c r="H16" i="33"/>
  <c r="H12" i="33"/>
  <c r="H15" i="33"/>
  <c r="H11" i="33"/>
  <c r="H10" i="33"/>
  <c r="H7" i="33"/>
  <c r="H9" i="33"/>
  <c r="H6" i="33"/>
  <c r="H8" i="33"/>
  <c r="H5" i="33"/>
  <c r="H4" i="33"/>
  <c r="H32" i="30"/>
  <c r="H25" i="30"/>
  <c r="H33" i="30"/>
  <c r="H26" i="30"/>
  <c r="H42" i="30"/>
  <c r="H48" i="30"/>
  <c r="H40" i="30"/>
  <c r="H39" i="30"/>
  <c r="H47" i="30"/>
  <c r="H19" i="30"/>
  <c r="H15" i="30"/>
  <c r="H54" i="30"/>
  <c r="H41" i="30"/>
  <c r="H34" i="30"/>
  <c r="H65" i="30"/>
  <c r="H64" i="30"/>
  <c r="H63" i="30"/>
  <c r="H62" i="30"/>
  <c r="H61" i="30"/>
  <c r="H60" i="30"/>
  <c r="H59" i="30"/>
  <c r="H58" i="30"/>
  <c r="H57" i="30"/>
  <c r="H56" i="30"/>
  <c r="H55" i="30"/>
  <c r="H53" i="30"/>
  <c r="H52" i="30"/>
  <c r="H51" i="30"/>
  <c r="H50" i="30"/>
  <c r="H49" i="30"/>
  <c r="H46" i="30"/>
  <c r="H38" i="30"/>
  <c r="H45" i="30"/>
  <c r="H37" i="30"/>
  <c r="H44" i="30"/>
  <c r="H36" i="30"/>
  <c r="H43" i="30"/>
  <c r="H35" i="30"/>
  <c r="H31" i="30"/>
  <c r="H24" i="30"/>
  <c r="H30" i="30"/>
  <c r="H23" i="30"/>
  <c r="H29" i="30"/>
  <c r="H22" i="30"/>
  <c r="H28" i="30"/>
  <c r="H21" i="30"/>
  <c r="H27" i="30"/>
  <c r="H20" i="30"/>
  <c r="H18" i="30"/>
  <c r="H14" i="30"/>
  <c r="H17" i="30"/>
  <c r="H13" i="30"/>
  <c r="H16" i="30"/>
  <c r="H12" i="30"/>
  <c r="H11" i="30"/>
  <c r="H8" i="30"/>
  <c r="H10" i="30"/>
  <c r="H7" i="30"/>
  <c r="H9" i="30"/>
  <c r="H6" i="30"/>
  <c r="H5" i="30"/>
  <c r="H4" i="30"/>
  <c r="H7" i="6"/>
  <c r="H14" i="6"/>
  <c r="H21" i="6"/>
  <c r="H8" i="6"/>
  <c r="H15" i="6"/>
  <c r="H22" i="6"/>
  <c r="H28" i="6"/>
  <c r="H33" i="6"/>
  <c r="H38" i="6"/>
  <c r="H43" i="6"/>
  <c r="H48" i="6"/>
  <c r="H4" i="6"/>
  <c r="H9" i="6"/>
  <c r="H16" i="6"/>
  <c r="H23" i="6"/>
  <c r="H29" i="6"/>
  <c r="H34" i="6"/>
  <c r="H39" i="6"/>
  <c r="H44" i="6"/>
  <c r="H49" i="6"/>
  <c r="H54" i="6"/>
  <c r="H59" i="6"/>
  <c r="H5" i="6"/>
  <c r="H10" i="6"/>
  <c r="H17" i="6"/>
  <c r="H24" i="6"/>
  <c r="H30" i="6"/>
  <c r="H35" i="6"/>
  <c r="H40" i="6"/>
  <c r="H45" i="6"/>
  <c r="H50" i="6"/>
  <c r="H55" i="6"/>
  <c r="H60" i="6"/>
  <c r="H64" i="6"/>
  <c r="H67" i="6"/>
  <c r="H70" i="6"/>
  <c r="H6" i="6"/>
  <c r="H11" i="6"/>
  <c r="H18" i="6"/>
  <c r="H25" i="6"/>
  <c r="H31" i="6"/>
  <c r="H36" i="6"/>
  <c r="H41" i="6"/>
  <c r="H46" i="6"/>
  <c r="H51" i="6"/>
  <c r="H56" i="6"/>
  <c r="H61" i="6"/>
  <c r="H65" i="6"/>
  <c r="H68" i="6"/>
  <c r="H71" i="6"/>
  <c r="H12" i="6"/>
  <c r="H19" i="6"/>
  <c r="H26" i="6"/>
  <c r="H32" i="6"/>
  <c r="H37" i="6"/>
  <c r="H42" i="6"/>
  <c r="H47" i="6"/>
  <c r="H52" i="6"/>
  <c r="H57" i="6"/>
  <c r="H62" i="6"/>
  <c r="H66" i="6"/>
  <c r="H69" i="6"/>
  <c r="H72" i="6"/>
  <c r="H13" i="6"/>
  <c r="H20" i="6"/>
  <c r="H27" i="6"/>
  <c r="H53" i="6"/>
  <c r="H58" i="6"/>
  <c r="H63" i="6"/>
  <c r="H4" i="7"/>
  <c r="H8" i="7"/>
  <c r="H13" i="7"/>
  <c r="H18" i="7"/>
  <c r="H23" i="7"/>
  <c r="H28" i="7"/>
  <c r="H33" i="7"/>
  <c r="H38" i="7"/>
  <c r="H5" i="7"/>
  <c r="H9" i="7"/>
  <c r="H14" i="7"/>
  <c r="H19" i="7"/>
  <c r="H24" i="7"/>
  <c r="H29" i="7"/>
  <c r="H34" i="7"/>
  <c r="H39" i="7"/>
  <c r="H44" i="7"/>
  <c r="H6" i="7"/>
  <c r="H10" i="7"/>
  <c r="H15" i="7"/>
  <c r="H20" i="7"/>
  <c r="H25" i="7"/>
  <c r="H30" i="7"/>
  <c r="H35" i="7"/>
  <c r="H40" i="7"/>
  <c r="H45" i="7"/>
  <c r="H49" i="7"/>
  <c r="H52" i="7"/>
  <c r="H55" i="7"/>
  <c r="H7" i="7"/>
  <c r="H11" i="7"/>
  <c r="H16" i="7"/>
  <c r="H21" i="7"/>
  <c r="H26" i="7"/>
  <c r="H31" i="7"/>
  <c r="H36" i="7"/>
  <c r="H41" i="7"/>
  <c r="H46" i="7"/>
  <c r="H50" i="7"/>
  <c r="H53" i="7"/>
  <c r="H56" i="7"/>
  <c r="H12" i="7"/>
  <c r="H17" i="7"/>
  <c r="H22" i="7"/>
  <c r="H27" i="7"/>
  <c r="H32" i="7"/>
  <c r="H37" i="7"/>
  <c r="H42" i="7"/>
  <c r="H47" i="7"/>
  <c r="H43" i="7"/>
  <c r="H48" i="7"/>
  <c r="H51" i="7"/>
  <c r="H54" i="7"/>
  <c r="H57" i="7"/>
  <c r="H58" i="7"/>
  <c r="H59" i="7"/>
  <c r="H4" i="2"/>
  <c r="H7" i="2"/>
  <c r="H10" i="2"/>
  <c r="H15" i="2"/>
  <c r="H20" i="2"/>
  <c r="H25" i="2"/>
  <c r="H30" i="2"/>
  <c r="H35" i="2"/>
  <c r="H5" i="2"/>
  <c r="H11" i="2"/>
  <c r="H16" i="2"/>
  <c r="H21" i="2"/>
  <c r="H26" i="2"/>
  <c r="H31" i="2"/>
  <c r="H36" i="2"/>
  <c r="H40" i="2"/>
  <c r="H12" i="2"/>
  <c r="H17" i="2"/>
  <c r="H22" i="2"/>
  <c r="H27" i="2"/>
  <c r="H32" i="2"/>
  <c r="H37" i="2"/>
  <c r="H41" i="2"/>
  <c r="H44" i="2"/>
  <c r="H6" i="2"/>
  <c r="H8" i="2"/>
  <c r="H13" i="2"/>
  <c r="H18" i="2"/>
  <c r="H23" i="2"/>
  <c r="H28" i="2"/>
  <c r="H33" i="2"/>
  <c r="H38" i="2"/>
  <c r="H42" i="2"/>
  <c r="H45" i="2"/>
  <c r="H47" i="2"/>
  <c r="H48" i="2"/>
  <c r="H50" i="2"/>
  <c r="H9" i="2"/>
  <c r="H14" i="2"/>
  <c r="H19" i="2"/>
  <c r="H24" i="2"/>
  <c r="H29" i="2"/>
  <c r="H34" i="2"/>
  <c r="H39" i="2"/>
  <c r="H43" i="2"/>
  <c r="H46" i="2"/>
  <c r="H49" i="2"/>
  <c r="H51" i="2"/>
  <c r="H4" i="24"/>
  <c r="H8" i="24"/>
  <c r="H9" i="24"/>
  <c r="H5" i="24"/>
  <c r="H10" i="24"/>
  <c r="H6" i="24"/>
  <c r="H11" i="24"/>
  <c r="H7" i="24"/>
  <c r="H12" i="24"/>
  <c r="H13" i="24"/>
  <c r="H18" i="24"/>
  <c r="H14" i="24"/>
  <c r="H19" i="24"/>
  <c r="H15" i="24"/>
  <c r="H20" i="24"/>
  <c r="H16" i="24"/>
  <c r="H21" i="24"/>
  <c r="H17" i="24"/>
  <c r="H22" i="24"/>
  <c r="H23" i="24"/>
  <c r="H28" i="24"/>
  <c r="H24" i="24"/>
  <c r="H29" i="24"/>
  <c r="H25" i="24"/>
  <c r="H30" i="24"/>
  <c r="H26" i="24"/>
  <c r="H31" i="24"/>
  <c r="H27" i="24"/>
  <c r="H32" i="24"/>
  <c r="H33" i="24"/>
  <c r="H38" i="24"/>
  <c r="H34" i="24"/>
  <c r="H39" i="24"/>
  <c r="H35" i="24"/>
  <c r="H40" i="24"/>
  <c r="H36" i="24"/>
  <c r="H41" i="24"/>
  <c r="H37" i="24"/>
  <c r="H42" i="24"/>
  <c r="H43" i="24"/>
  <c r="H44" i="24"/>
  <c r="H45" i="24"/>
  <c r="H46" i="24"/>
  <c r="H47" i="24"/>
  <c r="H48" i="24"/>
  <c r="H49" i="24"/>
  <c r="H50" i="24"/>
  <c r="H51" i="24"/>
  <c r="H52" i="24"/>
  <c r="H55" i="24"/>
  <c r="H53" i="24"/>
  <c r="H56" i="24"/>
  <c r="H54" i="24"/>
  <c r="H57" i="24"/>
  <c r="H58" i="24"/>
  <c r="H59" i="24"/>
  <c r="H4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4" i="29"/>
  <c r="H5" i="29"/>
  <c r="H6" i="29"/>
  <c r="H10" i="29"/>
  <c r="H7" i="29"/>
  <c r="H11" i="29"/>
  <c r="H8" i="29"/>
  <c r="H12" i="29"/>
  <c r="H9" i="29"/>
  <c r="H13" i="29"/>
  <c r="H14" i="29"/>
  <c r="H19" i="29"/>
  <c r="H15" i="29"/>
  <c r="H20" i="29"/>
  <c r="H16" i="29"/>
  <c r="H21" i="29"/>
  <c r="H17" i="29"/>
  <c r="H22" i="29"/>
  <c r="H18" i="29"/>
  <c r="H23" i="29"/>
  <c r="H24" i="29"/>
  <c r="H30" i="29"/>
  <c r="H25" i="29"/>
  <c r="H31" i="29"/>
  <c r="H26" i="29"/>
  <c r="H32" i="29"/>
  <c r="H27" i="29"/>
  <c r="H33" i="29"/>
  <c r="H28" i="29"/>
  <c r="H34" i="29"/>
  <c r="H29" i="29"/>
  <c r="H35" i="29"/>
  <c r="H42" i="29"/>
  <c r="H36" i="29"/>
  <c r="H43" i="29"/>
  <c r="H37" i="29"/>
  <c r="H44" i="29"/>
  <c r="H38" i="29"/>
  <c r="H45" i="29"/>
  <c r="H39" i="29"/>
  <c r="H46" i="29"/>
  <c r="H40" i="29"/>
  <c r="H47" i="29"/>
  <c r="H41" i="29"/>
  <c r="H48" i="29"/>
  <c r="H49" i="29"/>
  <c r="H50" i="29"/>
  <c r="H51" i="29"/>
  <c r="H52" i="29"/>
  <c r="H53" i="29"/>
  <c r="H54" i="29"/>
  <c r="H55" i="29"/>
  <c r="H56" i="29"/>
  <c r="H57" i="29"/>
  <c r="H58" i="29"/>
  <c r="H59" i="29"/>
  <c r="H60" i="29"/>
  <c r="H61" i="29"/>
  <c r="H62" i="29"/>
  <c r="K16" i="49" l="1"/>
  <c r="K24" i="49"/>
  <c r="K32" i="49"/>
  <c r="M23" i="49"/>
  <c r="M31" i="49"/>
  <c r="M39" i="49"/>
  <c r="M14" i="49"/>
  <c r="M22" i="49"/>
  <c r="M30" i="49"/>
  <c r="M38" i="49"/>
  <c r="K17" i="49"/>
  <c r="K25" i="49"/>
  <c r="K33" i="49"/>
  <c r="K41" i="49"/>
  <c r="K18" i="49"/>
  <c r="K26" i="49"/>
  <c r="K34" i="49"/>
  <c r="K42" i="49"/>
  <c r="K9" i="49"/>
  <c r="K19" i="49"/>
  <c r="K27" i="49"/>
  <c r="K35" i="49"/>
  <c r="K43" i="49"/>
  <c r="K20" i="49"/>
  <c r="K28" i="49"/>
  <c r="K36" i="49"/>
  <c r="K44" i="49"/>
  <c r="K13" i="49"/>
  <c r="K21" i="49"/>
  <c r="K29" i="49"/>
  <c r="K37" i="49"/>
  <c r="K45" i="49"/>
  <c r="K12" i="49"/>
  <c r="K11" i="49"/>
  <c r="K10" i="49"/>
  <c r="H77" i="19"/>
  <c r="H31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Gallinat, Michael P (DFW)</author>
    <author>WDFW</author>
  </authors>
  <commentList>
    <comment ref="P13" authorId="0" shapeId="0" xr:uid="{00000000-0006-0000-0500-000001000000}">
      <text>
        <r>
          <rPr>
            <b/>
            <sz val="9"/>
            <color indexed="81"/>
            <rFont val="Tahoma"/>
            <charset val="1"/>
          </rPr>
          <t>Gallinat, Michael P (DFW):</t>
        </r>
        <r>
          <rPr>
            <sz val="9"/>
            <color indexed="81"/>
            <rFont val="Tahoma"/>
            <charset val="1"/>
          </rPr>
          <t xml:space="preserve">
1 MALE UNK ORIGIN
</t>
        </r>
      </text>
    </comment>
    <comment ref="P56" authorId="1" shapeId="0" xr:uid="{00000000-0006-0000-0500-000002000000}">
      <text>
        <r>
          <rPr>
            <b/>
            <sz val="9"/>
            <color indexed="81"/>
            <rFont val="Tahoma"/>
            <charset val="1"/>
          </rPr>
          <t>WDFW:</t>
        </r>
        <r>
          <rPr>
            <sz val="9"/>
            <color indexed="81"/>
            <rFont val="Tahoma"/>
            <charset val="1"/>
          </rPr>
          <t xml:space="preserve">
backbone.
</t>
        </r>
      </text>
    </comment>
    <comment ref="P57" authorId="1" shapeId="0" xr:uid="{00000000-0006-0000-0500-000003000000}">
      <text>
        <r>
          <rPr>
            <b/>
            <sz val="9"/>
            <color indexed="81"/>
            <rFont val="Tahoma"/>
            <charset val="1"/>
          </rPr>
          <t>WDFW:</t>
        </r>
        <r>
          <rPr>
            <sz val="9"/>
            <color indexed="81"/>
            <rFont val="Tahoma"/>
            <charset val="1"/>
          </rPr>
          <t xml:space="preserve">
backbone.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</authors>
  <commentList>
    <comment ref="P28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UNK ORIGIN FEMALE</t>
        </r>
      </text>
    </comment>
    <comment ref="P32" authorId="0" shapeId="0" xr:uid="{00000000-0006-0000-0600-000002000000}">
      <text>
        <r>
          <rPr>
            <b/>
            <sz val="9"/>
            <color indexed="81"/>
            <rFont val="Tahoma"/>
            <charset val="1"/>
          </rPr>
          <t>WDFW:</t>
        </r>
        <r>
          <rPr>
            <sz val="9"/>
            <color indexed="81"/>
            <rFont val="Tahoma"/>
            <charset val="1"/>
          </rPr>
          <t xml:space="preserve">
3 FISH - TAILS AND A LITTLE BIT OF SKIN.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</authors>
  <commentList>
    <comment ref="P46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Female - unknown origin.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</authors>
  <commentList>
    <comment ref="J80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One of the 4 is an unknown sex.</t>
        </r>
      </text>
    </comment>
    <comment ref="P80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Unknown sex.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</authors>
  <commentList>
    <comment ref="P2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natural origin</t>
        </r>
      </text>
    </comment>
    <comment ref="P73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Hatchery origin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Gallinat, Michael P (DFW)</author>
    <author>Michael Gallinat</author>
  </authors>
  <commentList>
    <comment ref="K44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Gallinat, Michael P (DFW):</t>
        </r>
        <r>
          <rPr>
            <sz val="9"/>
            <color indexed="81"/>
            <rFont val="Tahoma"/>
            <family val="2"/>
          </rPr>
          <t xml:space="preserve">
Sex was unknown.</t>
        </r>
      </text>
    </comment>
    <comment ref="E60" authorId="1" shapeId="0" xr:uid="{00000000-0006-0000-0A00-000002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Walked prior to fall Chinook spawning. </t>
        </r>
      </text>
    </comment>
    <comment ref="E61" authorId="1" shapeId="0" xr:uid="{00000000-0006-0000-0A00-000003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Walked prior to fall Chinook spawning.</t>
        </r>
      </text>
    </comment>
    <comment ref="E62" authorId="1" shapeId="0" xr:uid="{00000000-0006-0000-0A00-000004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Walked prior to fall Chinook spawning.</t>
        </r>
      </text>
    </comment>
    <comment ref="E63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Gallinat, Michael P (DFW):</t>
        </r>
        <r>
          <rPr>
            <sz val="9"/>
            <color indexed="81"/>
            <rFont val="Tahoma"/>
            <family val="2"/>
          </rPr>
          <t xml:space="preserve">
Walked prior to fall Chinook spawning.</t>
        </r>
      </text>
    </comment>
    <comment ref="E64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Gallinat, Michael P (DFW):</t>
        </r>
        <r>
          <rPr>
            <sz val="9"/>
            <color indexed="81"/>
            <rFont val="Tahoma"/>
            <family val="2"/>
          </rPr>
          <t xml:space="preserve">
Walked prior to fall Chinook spawning.</t>
        </r>
      </text>
    </comment>
    <comment ref="E65" authorId="1" shapeId="0" xr:uid="{00000000-0006-0000-0A00-000007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Walked prior to fall Chinook spawning.</t>
        </r>
      </text>
    </comment>
    <comment ref="E66" authorId="1" shapeId="0" xr:uid="{00000000-0006-0000-0A00-000008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Walked prior to fall Chinook spawning.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Gallinat</author>
    <author>Gallinat, Michael P (DFW)</author>
  </authors>
  <commentList>
    <comment ref="I43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Includes 2 cabbage heads.</t>
        </r>
      </text>
    </comment>
    <comment ref="E57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Walked prior to fall Chinook spawning.  
</t>
        </r>
      </text>
    </comment>
    <comment ref="E58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Walked prior to fall Chinook spawning. </t>
        </r>
      </text>
    </comment>
    <comment ref="E59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Walked prior to fall Chinook spawning.</t>
        </r>
      </text>
    </comment>
    <comment ref="E60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Walked prior to fall Chinook spawning.</t>
        </r>
      </text>
    </comment>
    <comment ref="E61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Gallinat, Michael P (DFW):</t>
        </r>
        <r>
          <rPr>
            <sz val="9"/>
            <color indexed="81"/>
            <rFont val="Tahoma"/>
            <family val="2"/>
          </rPr>
          <t xml:space="preserve">
Walked prior to fall Chinook spawning.</t>
        </r>
      </text>
    </comment>
    <comment ref="E62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Gallinat, Michael P (DFW):</t>
        </r>
        <r>
          <rPr>
            <sz val="9"/>
            <color indexed="81"/>
            <rFont val="Tahoma"/>
            <family val="2"/>
          </rPr>
          <t xml:space="preserve">
Walked prior to fall Chinook spawning.</t>
        </r>
      </text>
    </comment>
    <comment ref="E63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Walked prior to fall Chinook spawning.</t>
        </r>
      </text>
    </comment>
    <comment ref="E64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Walked prior to fall Chinook spawning.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Gallinat</author>
  </authors>
  <commentList>
    <comment ref="E4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Conducted by Fish Mgmt staff (Jeremy Trump) during bull trout spawning surveys. Redd found 0.25 miles above Sheep Creek.</t>
        </r>
      </text>
    </comment>
    <comment ref="E53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Walked prior to fall Chinook spawning.  
</t>
        </r>
      </text>
    </comment>
    <comment ref="E54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Walked prior to fall Chinook spawning. </t>
        </r>
      </text>
    </comment>
    <comment ref="E55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Walked prior to fall Chinook spawning.</t>
        </r>
      </text>
    </comment>
    <comment ref="E56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Walked prior to fall Chinook spawning.</t>
        </r>
      </text>
    </comment>
    <comment ref="E57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Walked prior to fall Chinook spawning.</t>
        </r>
      </text>
    </comment>
    <comment ref="E58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Walked prior to fall Chinook spawning.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Gallinat</author>
  </authors>
  <commentList>
    <comment ref="I26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3 FISH OBS.</t>
        </r>
      </text>
    </comment>
    <comment ref="I32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3 FISH OBS. 1 W/ CABBAGE HEAD.</t>
        </r>
      </text>
    </comment>
    <comment ref="I34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8 CABBAGE HEADS OBS.</t>
        </r>
      </text>
    </comment>
    <comment ref="I39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9 CABBAGE HEAD FISH OBS.</t>
        </r>
      </text>
    </comment>
    <comment ref="I40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3 CABBAGE HEAD FISH OBS.</t>
        </r>
      </text>
    </comment>
    <comment ref="I4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1 CABBAGE HEAD FISH OBS.</t>
        </r>
      </text>
    </comment>
    <comment ref="I42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1 FISH WITH SCRAPES ON HEAD.</t>
        </r>
      </text>
    </comment>
    <comment ref="I48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2 CABBAGE HEAD FISH OBS.</t>
        </r>
      </text>
    </comment>
    <comment ref="I54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Michael Gallinat:</t>
        </r>
        <r>
          <rPr>
            <sz val="9"/>
            <color indexed="81"/>
            <rFont val="Tahoma"/>
            <family val="2"/>
          </rPr>
          <t xml:space="preserve">
5 LIVE FISH OBS.
1 WITH A CABBAGE HEAD (FUNGUS)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Gallinat, Michael P (DFW)</author>
  </authors>
  <commentList>
    <comment ref="G8" authorId="0" shapeId="0" xr:uid="{55BBF381-5D65-4EBC-88DB-5DF34ABE12EC}">
      <text>
        <r>
          <rPr>
            <b/>
            <sz val="9"/>
            <color indexed="81"/>
            <rFont val="Tahoma"/>
            <family val="2"/>
          </rPr>
          <t>Gallinat, Michael P (DFW):</t>
        </r>
        <r>
          <rPr>
            <sz val="9"/>
            <color indexed="81"/>
            <rFont val="Tahoma"/>
            <family val="2"/>
          </rPr>
          <t xml:space="preserve">
Was in site 4 (rkm 68-73)</t>
        </r>
      </text>
    </comment>
  </commentList>
</comments>
</file>

<file path=xl/sharedStrings.xml><?xml version="1.0" encoding="utf-8"?>
<sst xmlns="http://schemas.openxmlformats.org/spreadsheetml/2006/main" count="5938" uniqueCount="216">
  <si>
    <t>Date</t>
  </si>
  <si>
    <t>Survey</t>
  </si>
  <si>
    <t>Stream Section</t>
  </si>
  <si>
    <t>Redds</t>
  </si>
  <si>
    <t>Surveyed</t>
  </si>
  <si>
    <t>Live</t>
  </si>
  <si>
    <t>Hatchery</t>
  </si>
  <si>
    <t>Wild</t>
  </si>
  <si>
    <t xml:space="preserve">               Dead</t>
  </si>
  <si>
    <t>Sheep Creek to Lady Bug Flat</t>
  </si>
  <si>
    <t>Lady Bug Flat to Panjab Bridge</t>
  </si>
  <si>
    <t>Panjab Bridge to Cow Camp</t>
  </si>
  <si>
    <t>Cow Camp to Camp Wooten</t>
  </si>
  <si>
    <t>Camp Wooten to Curl Lake</t>
  </si>
  <si>
    <t>Curl Lake to Beaver Watson</t>
  </si>
  <si>
    <t>Beaver Watson to Hatchery Intake</t>
  </si>
  <si>
    <t>Hatchery Intake to Cummings Creek Bridge</t>
  </si>
  <si>
    <t>Cummings Creek Bridge to Bridge 14</t>
  </si>
  <si>
    <t>Bridge 14 to Bridge 12</t>
  </si>
  <si>
    <t>Bridge 12 to Bridge 10</t>
  </si>
  <si>
    <t>Bridge 10 to Marengo</t>
  </si>
  <si>
    <t>Marengo to Hovrud's Silt Basin</t>
  </si>
  <si>
    <t>Hovrud's Silt Basin to King Grade</t>
  </si>
  <si>
    <t>Description</t>
  </si>
  <si>
    <t xml:space="preserve">         Fish Observed</t>
  </si>
  <si>
    <t>River</t>
  </si>
  <si>
    <t>Km</t>
  </si>
  <si>
    <t>(84-78)</t>
  </si>
  <si>
    <t>(78-75)</t>
  </si>
  <si>
    <t>(75-73)</t>
  </si>
  <si>
    <t>(73-68)</t>
  </si>
  <si>
    <t>(68-66)</t>
  </si>
  <si>
    <t>(66-62)</t>
  </si>
  <si>
    <t>(62-59)</t>
  </si>
  <si>
    <t>(59-56)</t>
  </si>
  <si>
    <t>(56-52)</t>
  </si>
  <si>
    <t>(52-47)</t>
  </si>
  <si>
    <t>(47-43)</t>
  </si>
  <si>
    <t>(43-40)</t>
  </si>
  <si>
    <t>(40-34)</t>
  </si>
  <si>
    <t>(34-28)</t>
  </si>
  <si>
    <t>GPS Coordinates</t>
  </si>
  <si>
    <t>Sheep Creek</t>
  </si>
  <si>
    <t>Lady Bug Flat</t>
  </si>
  <si>
    <t>Panjab Bridge</t>
  </si>
  <si>
    <t>Cow Camp</t>
  </si>
  <si>
    <t>Camp Wooten</t>
  </si>
  <si>
    <t>Curl Lake</t>
  </si>
  <si>
    <t>Beaver Watson</t>
  </si>
  <si>
    <t>Hatchery Intake</t>
  </si>
  <si>
    <t>Cummings Creek Bridge</t>
  </si>
  <si>
    <t>Bridge 14</t>
  </si>
  <si>
    <t>Bridge 12</t>
  </si>
  <si>
    <t>Bridge 10</t>
  </si>
  <si>
    <t>Marengo</t>
  </si>
  <si>
    <t>Hovrud's Silt Basin</t>
  </si>
  <si>
    <t>King Grade</t>
  </si>
  <si>
    <t>46.1878520 N   117.6245779 W</t>
  </si>
  <si>
    <t>46.1957796 N   117.6688731 W</t>
  </si>
  <si>
    <t>46.2061907 N   117.7069789 W</t>
  </si>
  <si>
    <t>46.2235307 N   117.7216641 W</t>
  </si>
  <si>
    <t>46.2429747 N   117.6888277 W</t>
  </si>
  <si>
    <t>46.2543372 N   117.6708313 W</t>
  </si>
  <si>
    <t>46.2846925 N   117.6564886 W</t>
  </si>
  <si>
    <t>46.3095345 N   117.6571316 W</t>
  </si>
  <si>
    <t>46.3332410 N   117.6761894 W</t>
  </si>
  <si>
    <t>46.3682347 N   117.6913078 W</t>
  </si>
  <si>
    <t>46.3966671 N   117.7177778 W</t>
  </si>
  <si>
    <t>46.4211444 N   117.7308879 W</t>
  </si>
  <si>
    <t>46.4400046 N   117.7497202 W</t>
  </si>
  <si>
    <t>46.4434802 N   117.7758071 W</t>
  </si>
  <si>
    <t>46.4545520 N   117.8209187 W</t>
  </si>
  <si>
    <t>River Km</t>
  </si>
  <si>
    <t>per Km</t>
  </si>
  <si>
    <t>(68-62)</t>
  </si>
  <si>
    <t>Camp Wooten to Beaver Watson</t>
  </si>
  <si>
    <t>Panjab Bridge to Camp Wooten</t>
  </si>
  <si>
    <t>(75-68)</t>
  </si>
  <si>
    <t>(84-75)</t>
  </si>
  <si>
    <t>Sheep Creek to Panjab Bridge</t>
  </si>
  <si>
    <t>Marengo to King Grade</t>
  </si>
  <si>
    <t>(40-28)</t>
  </si>
  <si>
    <t>THERE WAS NO MENTION OF ORIGIN OF DEAD FISH IN FILE SO I PUT THEM IN THE WILD COLUMN</t>
  </si>
  <si>
    <t>Bridge 12 to Marengo</t>
  </si>
  <si>
    <t>(47-40)</t>
  </si>
  <si>
    <t>Beaver Watson to Cummings Creek Bridge</t>
  </si>
  <si>
    <t>(62-56)</t>
  </si>
  <si>
    <t>Cummings Creek Bridge to Bridge 12</t>
  </si>
  <si>
    <t>Bridge 12 to Bridge 9</t>
  </si>
  <si>
    <t>(56-47)</t>
  </si>
  <si>
    <t>(47-42)</t>
  </si>
  <si>
    <t>Cummings Creek Bridge to Bridge 13</t>
  </si>
  <si>
    <t>(56-49)</t>
  </si>
  <si>
    <t>Bridge 13 to Bridge 12</t>
  </si>
  <si>
    <t>Bridge 10 to Bridge 9</t>
  </si>
  <si>
    <t>(49-47)</t>
  </si>
  <si>
    <t>(43-42)</t>
  </si>
  <si>
    <t>(87-75)</t>
  </si>
  <si>
    <t>Rucherts Camp to Lady Bug Flat</t>
  </si>
  <si>
    <t>(87-78)</t>
  </si>
  <si>
    <t>Rucherts Camp to Panjab Bridge</t>
  </si>
  <si>
    <t>Year</t>
  </si>
  <si>
    <t>No Survey</t>
  </si>
  <si>
    <t>No Date</t>
  </si>
  <si>
    <t>Rucherts Camp</t>
  </si>
  <si>
    <t>46.1817707 N   117.5973636 W</t>
  </si>
  <si>
    <t>Enrich Bridge</t>
  </si>
  <si>
    <t>46.4652546 N   117.8976440 W</t>
  </si>
  <si>
    <t>Rkm</t>
  </si>
  <si>
    <t>HM</t>
  </si>
  <si>
    <t>HF</t>
  </si>
  <si>
    <t>WM</t>
  </si>
  <si>
    <t>WF</t>
  </si>
  <si>
    <t>Site</t>
  </si>
  <si>
    <t>No.</t>
  </si>
  <si>
    <t>rkm</t>
  </si>
  <si>
    <t>A</t>
  </si>
  <si>
    <t>Above Sheep Creek</t>
  </si>
  <si>
    <t>(86-84)</t>
  </si>
  <si>
    <t>2 rkm above Sheep Creek</t>
  </si>
  <si>
    <t>1a</t>
  </si>
  <si>
    <t>Note:  Pre-spawn mortality walk conducted on 8/11/09 (1a) from Camp Wooten to Cummings Ck. - 1 HF carcass found (rkm 61.3) and 8/20/09 from Br 12 to Marengo - none observed.</t>
  </si>
  <si>
    <t>= one hatchery female was a pre-spawn mort. On 9/17/09 at rkm 54.5.</t>
  </si>
  <si>
    <t>(37-34)</t>
  </si>
  <si>
    <t>(40-37)</t>
  </si>
  <si>
    <t>King Grade to Enrich Bridge</t>
  </si>
  <si>
    <t>King Grade to Enrich Br.</t>
  </si>
  <si>
    <t>PSM</t>
  </si>
  <si>
    <t>Enrich Br. to Hwy 12</t>
  </si>
  <si>
    <t>(28-22)</t>
  </si>
  <si>
    <t>Hwy 12 to Territorial Rd.</t>
  </si>
  <si>
    <t>(22-20)</t>
  </si>
  <si>
    <t>Territorial Rd. to Ducharme's</t>
  </si>
  <si>
    <t>(20-17)</t>
  </si>
  <si>
    <t>Starbuck to Power's Br.</t>
  </si>
  <si>
    <t>Power's Br to Mouth (slackwater)</t>
  </si>
  <si>
    <t>(7-4)</t>
  </si>
  <si>
    <t>(4-0)</t>
  </si>
  <si>
    <t>unknown origin</t>
  </si>
  <si>
    <t>or sex</t>
  </si>
  <si>
    <t>Sp CH</t>
  </si>
  <si>
    <t>Ducharme's to Smith Hollow Br.</t>
  </si>
  <si>
    <t>Smith Hollow Br. To Jackson's</t>
  </si>
  <si>
    <t>(17-13)</t>
  </si>
  <si>
    <t>(13-9)</t>
  </si>
  <si>
    <t>Tucannon Falls to Territorial Rd. Br.</t>
  </si>
  <si>
    <t>(23-20)</t>
  </si>
  <si>
    <t>Territorial Rd. Br. To Ducharme's Br.</t>
  </si>
  <si>
    <t>Ducharme's Br. To Smith Hollow</t>
  </si>
  <si>
    <t>(18-13)</t>
  </si>
  <si>
    <t>Smith Hollow to Jackson's</t>
  </si>
  <si>
    <t>Power's Br. to Mouth</t>
  </si>
  <si>
    <t>1?</t>
  </si>
  <si>
    <t>1 W unk sex</t>
  </si>
  <si>
    <t>Known origin/</t>
  </si>
  <si>
    <t>Unknown sex</t>
  </si>
  <si>
    <t>LR</t>
  </si>
  <si>
    <t>MG</t>
  </si>
  <si>
    <t>JB</t>
  </si>
  <si>
    <t>Camp Wooten to Curl Lake Outlet</t>
  </si>
  <si>
    <t>DK</t>
  </si>
  <si>
    <t>2a</t>
  </si>
  <si>
    <t>2b</t>
  </si>
  <si>
    <t>Give Dave Frame 24 hr. notice - 520-2731</t>
  </si>
  <si>
    <t>Call Ducharme prior to walking - 382-2592</t>
  </si>
  <si>
    <t>Sign in at Howard's prior to walking.</t>
  </si>
  <si>
    <t>TM</t>
  </si>
  <si>
    <t>RR</t>
  </si>
  <si>
    <t>JF</t>
  </si>
  <si>
    <t>pieces of skin/parts.</t>
  </si>
  <si>
    <t>Call Adam Uptegrove (509) 342-4079 Br14-13</t>
  </si>
  <si>
    <t>This Section Sucks!</t>
  </si>
  <si>
    <t>Note:  We could not survey upstream of Panjab Bridge during 2021 due to the Green Ridge forest fire.</t>
  </si>
  <si>
    <t>*Also Call Dan (D.J.) Frame (509) 520-4686</t>
  </si>
  <si>
    <t>MH</t>
  </si>
  <si>
    <t xml:space="preserve">*Note- </t>
  </si>
  <si>
    <t>16-17</t>
  </si>
  <si>
    <t>5-6</t>
  </si>
  <si>
    <t>Marengo to Enrich Br.</t>
  </si>
  <si>
    <t>13-15</t>
  </si>
  <si>
    <t>3-4</t>
  </si>
  <si>
    <t>11-12</t>
  </si>
  <si>
    <t>13-14</t>
  </si>
  <si>
    <t>A-2</t>
  </si>
  <si>
    <t>1-2</t>
  </si>
  <si>
    <t>A-1</t>
  </si>
  <si>
    <t>7-8</t>
  </si>
  <si>
    <t>9-10</t>
  </si>
  <si>
    <t>Wilderness</t>
  </si>
  <si>
    <t>HMA</t>
  </si>
  <si>
    <t>Hartsock</t>
  </si>
  <si>
    <t>Total</t>
  </si>
  <si>
    <t>Strata</t>
  </si>
  <si>
    <t>--</t>
  </si>
  <si>
    <t>Below</t>
  </si>
  <si>
    <t>Above</t>
  </si>
  <si>
    <t>Trap</t>
  </si>
  <si>
    <t>%</t>
  </si>
  <si>
    <t>75-86</t>
  </si>
  <si>
    <t>56-75</t>
  </si>
  <si>
    <t>40-56</t>
  </si>
  <si>
    <t>20-40</t>
  </si>
  <si>
    <t>&lt; 20</t>
  </si>
  <si>
    <t>Sheep Ck. - Panjab Br.</t>
  </si>
  <si>
    <t>Panjab Br. - C.C. Br.</t>
  </si>
  <si>
    <t>C.C. Br. - Marengo</t>
  </si>
  <si>
    <t>Marengo - Territorial Rd.</t>
  </si>
  <si>
    <t>Below Territorial Rd.</t>
  </si>
  <si>
    <t>Note:  Can't tell where hatchery intake is at.</t>
  </si>
  <si>
    <t>Note:  This was later  expanded to 316 redds to account for sections that weren't surveyed.</t>
  </si>
  <si>
    <t>Description:</t>
  </si>
  <si>
    <t>Rkm:</t>
  </si>
  <si>
    <t>11 km's</t>
  </si>
  <si>
    <t>19 km's</t>
  </si>
  <si>
    <t>16 km's</t>
  </si>
  <si>
    <t>20 km's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</si>
</sst>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"/>
  </numFmts>
  <fonts count="10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16" fontId="2" fillId="0" borderId="0" xfId="0" applyNumberFormat="1" applyFont="1"/>
    <xf numFmtId="0" fontId="2" fillId="0" borderId="0" xfId="0" applyFont="1"/>
    <xf numFmtId="1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quotePrefix="1"/>
    <xf numFmtId="1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center"/>
    </xf>
    <xf numFmtId="0" fontId="2" fillId="0" borderId="0" xfId="0" quotePrefix="1" applyNumberFormat="1" applyFont="1" applyAlignment="1">
      <alignment horizontal="left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2" fontId="0" fillId="0" borderId="0" xfId="0" applyNumberFormat="1"/>
    <xf numFmtId="14" fontId="0" fillId="0" borderId="0" xfId="0" applyNumberFormat="1" applyFill="1"/>
    <xf numFmtId="14" fontId="0" fillId="3" borderId="0" xfId="0" applyNumberFormat="1" applyFill="1"/>
    <xf numFmtId="14" fontId="0" fillId="3" borderId="0" xfId="0" applyNumberFormat="1" applyFill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2" fillId="0" borderId="0" xfId="0" quotePrefix="1" applyFont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left"/>
    </xf>
    <xf numFmtId="0" fontId="4" fillId="0" borderId="0" xfId="0" applyFont="1" applyFill="1"/>
    <xf numFmtId="2" fontId="4" fillId="0" borderId="0" xfId="0" applyNumberFormat="1" applyFont="1" applyFill="1" applyAlignment="1">
      <alignment horizontal="center"/>
    </xf>
    <xf numFmtId="14" fontId="0" fillId="0" borderId="0" xfId="0" applyNumberFormat="1" applyFill="1" applyAlignment="1">
      <alignment horizontal="right"/>
    </xf>
    <xf numFmtId="14" fontId="4" fillId="0" borderId="0" xfId="0" applyNumberFormat="1" applyFont="1" applyAlignment="1">
      <alignment horizontal="right"/>
    </xf>
    <xf numFmtId="0" fontId="4" fillId="0" borderId="1" xfId="0" applyFon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/>
    <xf numFmtId="2" fontId="1" fillId="0" borderId="0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2" xfId="0" applyNumberFormat="1" applyFont="1" applyBorder="1"/>
    <xf numFmtId="2" fontId="4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4" fontId="4" fillId="0" borderId="0" xfId="0" applyNumberFormat="1" applyFont="1" applyFill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0" fillId="3" borderId="0" xfId="0" applyFill="1"/>
    <xf numFmtId="2" fontId="1" fillId="0" borderId="2" xfId="0" applyNumberFormat="1" applyFont="1" applyFill="1" applyBorder="1" applyAlignment="1">
      <alignment horizontal="center"/>
    </xf>
    <xf numFmtId="16" fontId="2" fillId="0" borderId="0" xfId="0" quotePrefix="1" applyNumberFormat="1" applyFont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Fill="1" applyBorder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2" fillId="0" borderId="1" xfId="0" applyFont="1" applyFill="1" applyBorder="1"/>
    <xf numFmtId="0" fontId="2" fillId="0" borderId="0" xfId="0" applyFont="1" applyBorder="1"/>
    <xf numFmtId="2" fontId="2" fillId="0" borderId="0" xfId="0" applyNumberFormat="1" applyFont="1"/>
    <xf numFmtId="2" fontId="2" fillId="0" borderId="1" xfId="0" applyNumberFormat="1" applyFont="1" applyBorder="1"/>
    <xf numFmtId="2" fontId="1" fillId="0" borderId="0" xfId="0" applyNumberFormat="1" applyFont="1"/>
    <xf numFmtId="2" fontId="3" fillId="0" borderId="0" xfId="0" applyNumberFormat="1" applyFont="1"/>
    <xf numFmtId="0" fontId="3" fillId="0" borderId="0" xfId="0" applyFont="1"/>
    <xf numFmtId="0" fontId="3" fillId="0" borderId="0" xfId="0" applyFont="1" applyFill="1"/>
    <xf numFmtId="0" fontId="0" fillId="0" borderId="0" xfId="0" quotePrefix="1" applyAlignment="1">
      <alignment horizontal="center"/>
    </xf>
    <xf numFmtId="0" fontId="1" fillId="0" borderId="0" xfId="0" applyFont="1" applyAlignment="1">
      <alignment horizontal="centerContinuous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0" xfId="0" quotePrefix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4" borderId="0" xfId="0" applyFill="1"/>
    <xf numFmtId="0" fontId="1" fillId="0" borderId="0" xfId="0" applyFont="1" applyAlignment="1">
      <alignment horizontal="right"/>
    </xf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1" fillId="4" borderId="0" xfId="0" applyFont="1" applyFill="1"/>
    <xf numFmtId="0" fontId="4" fillId="4" borderId="0" xfId="0" applyFont="1" applyFill="1"/>
    <xf numFmtId="0" fontId="1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9"/>
  <sheetViews>
    <sheetView tabSelected="1" workbookViewId="0">
      <selection activeCell="M43" sqref="M43"/>
    </sheetView>
  </sheetViews>
  <sheetFormatPr defaultRowHeight="12.75" x14ac:dyDescent="0.2"/>
  <cols>
    <col min="2" max="2" width="10.7109375" customWidth="1"/>
    <col min="4" max="4" width="29.7109375" customWidth="1"/>
    <col min="5" max="5" width="6.85546875" customWidth="1"/>
    <col min="13" max="13" width="29" customWidth="1"/>
  </cols>
  <sheetData>
    <row r="1" spans="1:12" x14ac:dyDescent="0.2">
      <c r="A1" s="2" t="s">
        <v>113</v>
      </c>
      <c r="B1" s="2" t="s">
        <v>72</v>
      </c>
      <c r="C1" s="3" t="s">
        <v>23</v>
      </c>
      <c r="E1" s="2" t="s">
        <v>115</v>
      </c>
    </row>
    <row r="2" spans="1:12" x14ac:dyDescent="0.2">
      <c r="A2" s="16" t="s">
        <v>116</v>
      </c>
      <c r="B2" s="16" t="s">
        <v>118</v>
      </c>
      <c r="C2" s="15" t="s">
        <v>119</v>
      </c>
      <c r="D2" s="15"/>
      <c r="E2" s="16">
        <v>2</v>
      </c>
      <c r="F2" s="1" t="s">
        <v>160</v>
      </c>
    </row>
    <row r="3" spans="1:12" x14ac:dyDescent="0.2">
      <c r="A3" s="16">
        <v>1</v>
      </c>
      <c r="B3" s="33" t="s">
        <v>27</v>
      </c>
      <c r="C3" s="15" t="s">
        <v>9</v>
      </c>
      <c r="D3" s="15"/>
      <c r="E3" s="16">
        <v>6</v>
      </c>
      <c r="F3" s="1" t="s">
        <v>160</v>
      </c>
      <c r="H3" s="20"/>
      <c r="I3" s="22"/>
    </row>
    <row r="4" spans="1:12" x14ac:dyDescent="0.2">
      <c r="A4" s="16">
        <v>2</v>
      </c>
      <c r="B4" s="33" t="s">
        <v>28</v>
      </c>
      <c r="C4" s="15" t="s">
        <v>10</v>
      </c>
      <c r="D4" s="15"/>
      <c r="E4" s="16">
        <v>3</v>
      </c>
      <c r="F4" s="1" t="s">
        <v>160</v>
      </c>
    </row>
    <row r="5" spans="1:12" x14ac:dyDescent="0.2">
      <c r="A5" s="16">
        <v>3</v>
      </c>
      <c r="B5" s="33" t="s">
        <v>29</v>
      </c>
      <c r="C5" s="15" t="s">
        <v>11</v>
      </c>
      <c r="D5" s="15"/>
      <c r="E5" s="16">
        <v>2</v>
      </c>
      <c r="F5" s="1" t="s">
        <v>156</v>
      </c>
    </row>
    <row r="6" spans="1:12" x14ac:dyDescent="0.2">
      <c r="A6" s="16">
        <v>4</v>
      </c>
      <c r="B6" s="33" t="s">
        <v>30</v>
      </c>
      <c r="C6" s="15" t="s">
        <v>12</v>
      </c>
      <c r="D6" s="15"/>
      <c r="E6" s="16">
        <v>5</v>
      </c>
      <c r="F6" s="1" t="s">
        <v>156</v>
      </c>
    </row>
    <row r="7" spans="1:12" x14ac:dyDescent="0.2">
      <c r="A7" s="16">
        <v>5</v>
      </c>
      <c r="B7" s="33" t="s">
        <v>31</v>
      </c>
      <c r="C7" s="15" t="s">
        <v>13</v>
      </c>
      <c r="D7" s="15"/>
      <c r="E7" s="16">
        <v>2</v>
      </c>
      <c r="F7" s="1" t="s">
        <v>157</v>
      </c>
    </row>
    <row r="8" spans="1:12" x14ac:dyDescent="0.2">
      <c r="A8" s="16">
        <v>6</v>
      </c>
      <c r="B8" s="33" t="s">
        <v>32</v>
      </c>
      <c r="C8" s="15" t="s">
        <v>14</v>
      </c>
      <c r="D8" s="15"/>
      <c r="E8" s="16">
        <v>4</v>
      </c>
      <c r="F8" s="1" t="s">
        <v>157</v>
      </c>
    </row>
    <row r="9" spans="1:12" x14ac:dyDescent="0.2">
      <c r="A9" s="16">
        <v>7</v>
      </c>
      <c r="B9" s="33" t="s">
        <v>33</v>
      </c>
      <c r="C9" s="15" t="s">
        <v>15</v>
      </c>
      <c r="D9" s="15"/>
      <c r="E9" s="16">
        <v>3</v>
      </c>
      <c r="F9" s="1" t="s">
        <v>160</v>
      </c>
    </row>
    <row r="10" spans="1:12" x14ac:dyDescent="0.2">
      <c r="A10" s="16">
        <v>8</v>
      </c>
      <c r="B10" s="33" t="s">
        <v>34</v>
      </c>
      <c r="C10" s="15" t="s">
        <v>16</v>
      </c>
      <c r="D10" s="15"/>
      <c r="E10" s="16">
        <v>3</v>
      </c>
      <c r="F10" s="1" t="s">
        <v>160</v>
      </c>
    </row>
    <row r="11" spans="1:12" x14ac:dyDescent="0.2">
      <c r="A11" s="16">
        <v>9</v>
      </c>
      <c r="B11" s="33" t="s">
        <v>35</v>
      </c>
      <c r="C11" s="15" t="s">
        <v>17</v>
      </c>
      <c r="D11" s="15"/>
      <c r="E11" s="16">
        <v>4</v>
      </c>
      <c r="F11" s="1" t="s">
        <v>166</v>
      </c>
    </row>
    <row r="12" spans="1:12" x14ac:dyDescent="0.2">
      <c r="A12" s="16">
        <v>10</v>
      </c>
      <c r="B12" s="33" t="s">
        <v>36</v>
      </c>
      <c r="C12" s="15" t="s">
        <v>18</v>
      </c>
      <c r="D12" s="15"/>
      <c r="E12" s="16">
        <v>5</v>
      </c>
      <c r="F12" s="1" t="s">
        <v>174</v>
      </c>
      <c r="G12" s="11" t="s">
        <v>170</v>
      </c>
      <c r="L12" t="s">
        <v>171</v>
      </c>
    </row>
    <row r="13" spans="1:12" x14ac:dyDescent="0.2">
      <c r="A13" s="16">
        <v>11</v>
      </c>
      <c r="B13" s="33" t="s">
        <v>37</v>
      </c>
      <c r="C13" s="15" t="s">
        <v>19</v>
      </c>
      <c r="D13" s="15"/>
      <c r="E13" s="16">
        <v>4</v>
      </c>
      <c r="F13" s="1" t="s">
        <v>168</v>
      </c>
      <c r="G13" s="15" t="s">
        <v>165</v>
      </c>
    </row>
    <row r="14" spans="1:12" x14ac:dyDescent="0.2">
      <c r="A14" s="16">
        <v>12</v>
      </c>
      <c r="B14" s="33" t="s">
        <v>38</v>
      </c>
      <c r="C14" s="15" t="s">
        <v>20</v>
      </c>
      <c r="D14" s="15"/>
      <c r="E14" s="16">
        <v>3</v>
      </c>
      <c r="F14" s="16" t="s">
        <v>157</v>
      </c>
    </row>
    <row r="15" spans="1:12" x14ac:dyDescent="0.2">
      <c r="A15" s="16">
        <v>13</v>
      </c>
      <c r="B15" s="33" t="s">
        <v>124</v>
      </c>
      <c r="C15" s="15" t="s">
        <v>21</v>
      </c>
      <c r="D15" s="15"/>
      <c r="E15" s="16">
        <v>3</v>
      </c>
      <c r="F15" s="16" t="s">
        <v>160</v>
      </c>
      <c r="L15" t="s">
        <v>171</v>
      </c>
    </row>
    <row r="16" spans="1:12" x14ac:dyDescent="0.2">
      <c r="A16" s="16">
        <v>14</v>
      </c>
      <c r="B16" s="33" t="s">
        <v>123</v>
      </c>
      <c r="C16" s="15" t="s">
        <v>22</v>
      </c>
      <c r="D16" s="15"/>
      <c r="E16" s="16">
        <v>3</v>
      </c>
      <c r="F16" s="16" t="s">
        <v>160</v>
      </c>
      <c r="L16" t="s">
        <v>171</v>
      </c>
    </row>
    <row r="17" spans="1:13" x14ac:dyDescent="0.2">
      <c r="A17" s="16">
        <v>15</v>
      </c>
      <c r="B17" s="33" t="s">
        <v>40</v>
      </c>
      <c r="C17" s="15" t="s">
        <v>125</v>
      </c>
      <c r="D17" s="15"/>
      <c r="E17" s="16">
        <v>6</v>
      </c>
      <c r="F17" s="16" t="s">
        <v>160</v>
      </c>
    </row>
    <row r="18" spans="1:13" x14ac:dyDescent="0.2">
      <c r="A18" s="16">
        <v>16</v>
      </c>
      <c r="B18" s="16" t="s">
        <v>129</v>
      </c>
      <c r="C18" s="54" t="s">
        <v>128</v>
      </c>
      <c r="D18" s="55"/>
      <c r="E18" s="1">
        <v>6</v>
      </c>
      <c r="F18" s="16" t="s">
        <v>157</v>
      </c>
      <c r="G18" t="s">
        <v>163</v>
      </c>
      <c r="K18" s="73" t="s">
        <v>173</v>
      </c>
      <c r="L18" s="73"/>
      <c r="M18" s="73"/>
    </row>
    <row r="19" spans="1:13" x14ac:dyDescent="0.2">
      <c r="A19" s="16">
        <v>17</v>
      </c>
      <c r="B19" s="16" t="s">
        <v>131</v>
      </c>
      <c r="C19" s="54" t="s">
        <v>130</v>
      </c>
      <c r="D19" s="55"/>
      <c r="E19" s="1">
        <v>2</v>
      </c>
      <c r="F19" s="16" t="s">
        <v>158</v>
      </c>
      <c r="G19" t="s">
        <v>163</v>
      </c>
    </row>
    <row r="20" spans="1:13" x14ac:dyDescent="0.2">
      <c r="A20" s="16">
        <v>18</v>
      </c>
      <c r="B20" s="16" t="s">
        <v>133</v>
      </c>
      <c r="C20" s="54" t="s">
        <v>132</v>
      </c>
      <c r="D20" s="55"/>
      <c r="E20" s="1">
        <v>3</v>
      </c>
      <c r="F20" s="16" t="s">
        <v>158</v>
      </c>
      <c r="G20" t="s">
        <v>164</v>
      </c>
    </row>
    <row r="21" spans="1:13" x14ac:dyDescent="0.2">
      <c r="A21" s="16">
        <v>19</v>
      </c>
      <c r="B21" s="16" t="s">
        <v>143</v>
      </c>
      <c r="C21" s="54" t="s">
        <v>141</v>
      </c>
      <c r="D21" s="55"/>
      <c r="E21" s="1">
        <v>4</v>
      </c>
      <c r="F21" s="16" t="s">
        <v>167</v>
      </c>
      <c r="G21" t="s">
        <v>164</v>
      </c>
    </row>
    <row r="22" spans="1:13" x14ac:dyDescent="0.2">
      <c r="A22" s="16">
        <v>20</v>
      </c>
      <c r="B22" s="16" t="s">
        <v>144</v>
      </c>
      <c r="C22" s="54" t="s">
        <v>142</v>
      </c>
      <c r="D22" s="55"/>
      <c r="E22" s="1">
        <v>4</v>
      </c>
      <c r="F22" s="16" t="s">
        <v>168</v>
      </c>
    </row>
    <row r="23" spans="1:13" x14ac:dyDescent="0.2">
      <c r="A23" s="16">
        <v>21</v>
      </c>
      <c r="B23" s="16" t="s">
        <v>136</v>
      </c>
      <c r="C23" s="54" t="s">
        <v>134</v>
      </c>
      <c r="D23" s="55"/>
      <c r="E23" s="1">
        <v>3</v>
      </c>
      <c r="F23" s="16" t="s">
        <v>168</v>
      </c>
    </row>
    <row r="24" spans="1:13" ht="13.5" thickBot="1" x14ac:dyDescent="0.25">
      <c r="A24" s="16">
        <v>22</v>
      </c>
      <c r="B24" s="16" t="s">
        <v>137</v>
      </c>
      <c r="C24" s="54" t="s">
        <v>135</v>
      </c>
      <c r="D24" s="55"/>
      <c r="E24" s="4">
        <v>4</v>
      </c>
      <c r="F24" s="16" t="s">
        <v>167</v>
      </c>
    </row>
    <row r="25" spans="1:13" x14ac:dyDescent="0.2">
      <c r="A25" s="32"/>
      <c r="B25" s="33"/>
      <c r="C25" s="15"/>
      <c r="D25" s="15"/>
      <c r="E25" s="16">
        <f>SUM(E2:E24)</f>
        <v>84</v>
      </c>
      <c r="F25" s="16"/>
    </row>
    <row r="26" spans="1:13" x14ac:dyDescent="0.2">
      <c r="A26" s="15"/>
      <c r="B26" s="33"/>
      <c r="C26" s="15"/>
      <c r="D26" s="15"/>
      <c r="E26" s="15"/>
      <c r="F26" s="15"/>
    </row>
    <row r="27" spans="1:13" x14ac:dyDescent="0.2">
      <c r="B27" s="1"/>
    </row>
    <row r="28" spans="1:13" x14ac:dyDescent="0.2">
      <c r="B28" s="10" t="s">
        <v>41</v>
      </c>
    </row>
    <row r="29" spans="1:13" x14ac:dyDescent="0.2">
      <c r="B29" s="10"/>
    </row>
    <row r="30" spans="1:13" x14ac:dyDescent="0.2">
      <c r="B30" s="34" t="s">
        <v>104</v>
      </c>
      <c r="C30" s="15"/>
      <c r="D30" s="15" t="s">
        <v>105</v>
      </c>
      <c r="E30" s="15"/>
      <c r="F30" s="15"/>
    </row>
    <row r="31" spans="1:13" x14ac:dyDescent="0.2">
      <c r="B31" s="34" t="s">
        <v>42</v>
      </c>
      <c r="C31" s="15"/>
      <c r="D31" s="15" t="s">
        <v>57</v>
      </c>
      <c r="E31" s="15"/>
      <c r="F31" s="15"/>
    </row>
    <row r="32" spans="1:13" x14ac:dyDescent="0.2">
      <c r="B32" s="34" t="s">
        <v>43</v>
      </c>
      <c r="C32" s="15"/>
      <c r="D32" s="15" t="s">
        <v>58</v>
      </c>
      <c r="E32" s="15"/>
      <c r="F32" s="15"/>
    </row>
    <row r="33" spans="2:6" x14ac:dyDescent="0.2">
      <c r="B33" s="34" t="s">
        <v>44</v>
      </c>
      <c r="C33" s="15"/>
      <c r="D33" s="15" t="s">
        <v>59</v>
      </c>
      <c r="E33" s="15"/>
      <c r="F33" s="15"/>
    </row>
    <row r="34" spans="2:6" x14ac:dyDescent="0.2">
      <c r="B34" s="34" t="s">
        <v>45</v>
      </c>
      <c r="C34" s="15"/>
      <c r="D34" s="15" t="s">
        <v>60</v>
      </c>
      <c r="E34" s="15"/>
      <c r="F34" s="15"/>
    </row>
    <row r="35" spans="2:6" x14ac:dyDescent="0.2">
      <c r="B35" s="34" t="s">
        <v>46</v>
      </c>
      <c r="C35" s="15"/>
      <c r="D35" s="15" t="s">
        <v>61</v>
      </c>
      <c r="E35" s="15"/>
      <c r="F35" s="15"/>
    </row>
    <row r="36" spans="2:6" x14ac:dyDescent="0.2">
      <c r="B36" s="34" t="s">
        <v>47</v>
      </c>
      <c r="C36" s="15"/>
      <c r="D36" s="15" t="s">
        <v>62</v>
      </c>
      <c r="E36" s="15"/>
      <c r="F36" s="15"/>
    </row>
    <row r="37" spans="2:6" x14ac:dyDescent="0.2">
      <c r="B37" s="34" t="s">
        <v>48</v>
      </c>
      <c r="C37" s="15"/>
      <c r="D37" s="15" t="s">
        <v>63</v>
      </c>
      <c r="E37" s="15"/>
      <c r="F37" s="15"/>
    </row>
    <row r="38" spans="2:6" x14ac:dyDescent="0.2">
      <c r="B38" s="34" t="s">
        <v>49</v>
      </c>
      <c r="C38" s="15"/>
      <c r="D38" s="15" t="s">
        <v>64</v>
      </c>
      <c r="E38" s="15"/>
      <c r="F38" s="15"/>
    </row>
    <row r="39" spans="2:6" x14ac:dyDescent="0.2">
      <c r="B39" s="34" t="s">
        <v>50</v>
      </c>
      <c r="C39" s="15"/>
      <c r="D39" s="15" t="s">
        <v>65</v>
      </c>
      <c r="E39" s="15"/>
      <c r="F39" s="15"/>
    </row>
    <row r="40" spans="2:6" x14ac:dyDescent="0.2">
      <c r="B40" s="34" t="s">
        <v>51</v>
      </c>
      <c r="C40" s="15"/>
      <c r="D40" s="15" t="s">
        <v>66</v>
      </c>
      <c r="E40" s="15"/>
      <c r="F40" s="15"/>
    </row>
    <row r="41" spans="2:6" x14ac:dyDescent="0.2">
      <c r="B41" s="34" t="s">
        <v>52</v>
      </c>
      <c r="C41" s="15"/>
      <c r="D41" s="15" t="s">
        <v>67</v>
      </c>
      <c r="E41" s="15"/>
      <c r="F41" s="15"/>
    </row>
    <row r="42" spans="2:6" x14ac:dyDescent="0.2">
      <c r="B42" s="34" t="s">
        <v>53</v>
      </c>
      <c r="C42" s="15"/>
      <c r="D42" s="15" t="s">
        <v>68</v>
      </c>
      <c r="E42" s="15"/>
      <c r="F42" s="15"/>
    </row>
    <row r="43" spans="2:6" x14ac:dyDescent="0.2">
      <c r="B43" s="34" t="s">
        <v>54</v>
      </c>
      <c r="C43" s="15"/>
      <c r="D43" s="15" t="s">
        <v>69</v>
      </c>
      <c r="E43" s="15"/>
      <c r="F43" s="15"/>
    </row>
    <row r="44" spans="2:6" x14ac:dyDescent="0.2">
      <c r="B44" s="34" t="s">
        <v>55</v>
      </c>
      <c r="C44" s="15"/>
      <c r="D44" s="15" t="s">
        <v>70</v>
      </c>
      <c r="E44" s="15"/>
      <c r="F44" s="15"/>
    </row>
    <row r="45" spans="2:6" x14ac:dyDescent="0.2">
      <c r="B45" s="34" t="s">
        <v>56</v>
      </c>
      <c r="C45" s="15"/>
      <c r="D45" s="15" t="s">
        <v>71</v>
      </c>
      <c r="E45" s="15"/>
      <c r="F45" s="15"/>
    </row>
    <row r="46" spans="2:6" x14ac:dyDescent="0.2">
      <c r="B46" s="34" t="s">
        <v>106</v>
      </c>
      <c r="C46" s="15"/>
      <c r="D46" s="15" t="s">
        <v>107</v>
      </c>
      <c r="E46" s="15"/>
      <c r="F46" s="15"/>
    </row>
    <row r="47" spans="2:6" x14ac:dyDescent="0.2">
      <c r="B47" s="34"/>
      <c r="C47" s="15"/>
      <c r="D47" s="15"/>
      <c r="E47" s="15"/>
      <c r="F47" s="15"/>
    </row>
    <row r="48" spans="2:6" x14ac:dyDescent="0.2">
      <c r="B48" s="34"/>
      <c r="C48" s="15"/>
      <c r="D48" s="15"/>
      <c r="E48" s="15"/>
      <c r="F48" s="15"/>
    </row>
    <row r="49" spans="2:2" x14ac:dyDescent="0.2">
      <c r="B49" s="11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399B6-7D46-49F0-924F-778EC14E5B36}">
  <sheetPr>
    <pageSetUpPr fitToPage="1"/>
  </sheetPr>
  <dimension ref="B1:M47"/>
  <sheetViews>
    <sheetView workbookViewId="0">
      <selection activeCell="Q17" sqref="Q17"/>
    </sheetView>
  </sheetViews>
  <sheetFormatPr defaultRowHeight="12.75" x14ac:dyDescent="0.2"/>
  <cols>
    <col min="2" max="2" width="11.140625" customWidth="1"/>
    <col min="3" max="3" width="21.28515625" customWidth="1"/>
    <col min="4" max="4" width="18.5703125" customWidth="1"/>
    <col min="5" max="5" width="17.140625" customWidth="1"/>
    <col min="6" max="6" width="21.85546875" customWidth="1"/>
    <col min="7" max="7" width="18" customWidth="1"/>
    <col min="9" max="9" width="5.5703125" customWidth="1"/>
    <col min="10" max="10" width="10.5703125" customWidth="1"/>
    <col min="12" max="12" width="10.7109375" customWidth="1"/>
  </cols>
  <sheetData>
    <row r="1" spans="2:13" x14ac:dyDescent="0.2">
      <c r="B1" s="100" t="s">
        <v>210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</row>
    <row r="2" spans="2:13" x14ac:dyDescent="0.2">
      <c r="B2" s="100" t="s">
        <v>211</v>
      </c>
      <c r="C2" s="1" t="s">
        <v>198</v>
      </c>
      <c r="D2" s="1" t="s">
        <v>199</v>
      </c>
      <c r="E2" s="1" t="s">
        <v>200</v>
      </c>
      <c r="F2" s="1" t="s">
        <v>201</v>
      </c>
      <c r="G2" s="1" t="s">
        <v>202</v>
      </c>
    </row>
    <row r="3" spans="2:13" x14ac:dyDescent="0.2">
      <c r="B3" s="100"/>
      <c r="C3" s="16" t="s">
        <v>212</v>
      </c>
      <c r="D3" s="16" t="s">
        <v>213</v>
      </c>
      <c r="E3" s="16" t="s">
        <v>214</v>
      </c>
      <c r="F3" s="16" t="s">
        <v>215</v>
      </c>
      <c r="G3" s="16" t="s">
        <v>213</v>
      </c>
    </row>
    <row r="4" spans="2:13" x14ac:dyDescent="0.2">
      <c r="B4" s="100"/>
      <c r="C4" s="16"/>
      <c r="D4" s="16"/>
      <c r="E4" s="16"/>
      <c r="F4" s="16"/>
      <c r="G4" s="16"/>
    </row>
    <row r="5" spans="2:13" x14ac:dyDescent="0.2">
      <c r="B5" s="3"/>
      <c r="C5" s="93" t="s">
        <v>192</v>
      </c>
      <c r="D5" s="93"/>
      <c r="E5" s="93"/>
      <c r="F5" s="93"/>
      <c r="G5" s="93"/>
      <c r="H5" s="3"/>
    </row>
    <row r="6" spans="2:13" x14ac:dyDescent="0.2">
      <c r="B6" s="3"/>
      <c r="C6" s="3"/>
      <c r="D6" s="3"/>
      <c r="E6" s="3"/>
      <c r="F6" s="3"/>
      <c r="G6" s="2" t="s">
        <v>194</v>
      </c>
      <c r="H6" s="2" t="s">
        <v>191</v>
      </c>
      <c r="J6" s="2" t="s">
        <v>195</v>
      </c>
      <c r="K6" s="2"/>
      <c r="L6" s="2" t="s">
        <v>194</v>
      </c>
      <c r="M6" s="2"/>
    </row>
    <row r="7" spans="2:13" ht="13.5" thickBot="1" x14ac:dyDescent="0.25">
      <c r="B7" s="94" t="s">
        <v>101</v>
      </c>
      <c r="C7" s="94" t="s">
        <v>188</v>
      </c>
      <c r="D7" s="94" t="s">
        <v>189</v>
      </c>
      <c r="E7" s="94" t="s">
        <v>190</v>
      </c>
      <c r="F7" s="94" t="s">
        <v>54</v>
      </c>
      <c r="G7" s="94" t="s">
        <v>54</v>
      </c>
      <c r="H7" s="94" t="s">
        <v>3</v>
      </c>
      <c r="J7" s="95" t="s">
        <v>196</v>
      </c>
      <c r="K7" s="95" t="s">
        <v>197</v>
      </c>
      <c r="L7" s="95" t="s">
        <v>196</v>
      </c>
      <c r="M7" s="95" t="s">
        <v>197</v>
      </c>
    </row>
    <row r="8" spans="2:13" x14ac:dyDescent="0.2">
      <c r="B8" s="1">
        <v>1985</v>
      </c>
      <c r="C8" s="1">
        <v>101</v>
      </c>
      <c r="D8" s="1">
        <v>165</v>
      </c>
      <c r="E8" s="1">
        <v>50</v>
      </c>
      <c r="F8" s="92">
        <v>0</v>
      </c>
      <c r="G8" s="92">
        <v>0</v>
      </c>
      <c r="H8" s="1">
        <f>SUM(C8:G8)</f>
        <v>316</v>
      </c>
      <c r="J8" s="96">
        <v>266</v>
      </c>
      <c r="K8" s="97">
        <f>J8/H8*100</f>
        <v>84.177215189873422</v>
      </c>
      <c r="L8" s="96">
        <v>50</v>
      </c>
      <c r="M8" s="97">
        <f>L8/H8*100</f>
        <v>15.822784810126583</v>
      </c>
    </row>
    <row r="9" spans="2:13" x14ac:dyDescent="0.2">
      <c r="B9" s="1">
        <v>1986</v>
      </c>
      <c r="C9" s="1">
        <v>53</v>
      </c>
      <c r="D9" s="1">
        <v>105</v>
      </c>
      <c r="E9" s="1">
        <v>42</v>
      </c>
      <c r="F9" s="1">
        <v>0</v>
      </c>
      <c r="G9" s="1">
        <v>0</v>
      </c>
      <c r="H9" s="1">
        <f t="shared" ref="H9:H45" si="0">SUM(C9:G9)</f>
        <v>200</v>
      </c>
      <c r="J9" s="1">
        <v>163</v>
      </c>
      <c r="K9" s="97">
        <f>J9/H9*100</f>
        <v>81.5</v>
      </c>
      <c r="L9" s="1">
        <v>37</v>
      </c>
      <c r="M9" s="97">
        <f>L9/H9*100</f>
        <v>18.5</v>
      </c>
    </row>
    <row r="10" spans="2:13" x14ac:dyDescent="0.2">
      <c r="B10" s="1">
        <v>1987</v>
      </c>
      <c r="C10" s="1">
        <v>15</v>
      </c>
      <c r="D10" s="1">
        <v>140</v>
      </c>
      <c r="E10" s="1">
        <v>30</v>
      </c>
      <c r="F10" s="92">
        <v>0</v>
      </c>
      <c r="G10" s="1">
        <v>0</v>
      </c>
      <c r="H10" s="1">
        <f t="shared" si="0"/>
        <v>185</v>
      </c>
      <c r="J10" s="1">
        <v>149</v>
      </c>
      <c r="K10" s="97">
        <f t="shared" ref="K10:K45" si="1">J10/H10*100</f>
        <v>80.540540540540533</v>
      </c>
      <c r="L10" s="1">
        <v>36</v>
      </c>
      <c r="M10" s="97">
        <f t="shared" ref="M10:M45" si="2">L10/H10*100</f>
        <v>19.45945945945946</v>
      </c>
    </row>
    <row r="11" spans="2:13" x14ac:dyDescent="0.2">
      <c r="B11" s="1">
        <v>1988</v>
      </c>
      <c r="C11" s="1">
        <v>18</v>
      </c>
      <c r="D11" s="1">
        <v>79</v>
      </c>
      <c r="E11" s="1">
        <v>20</v>
      </c>
      <c r="F11" s="92">
        <v>0</v>
      </c>
      <c r="G11" s="1">
        <v>0</v>
      </c>
      <c r="H11" s="1">
        <f t="shared" si="0"/>
        <v>117</v>
      </c>
      <c r="J11" s="1">
        <v>90</v>
      </c>
      <c r="K11" s="97">
        <f t="shared" si="1"/>
        <v>76.923076923076934</v>
      </c>
      <c r="L11" s="1">
        <v>27</v>
      </c>
      <c r="M11" s="97">
        <f t="shared" si="2"/>
        <v>23.076923076923077</v>
      </c>
    </row>
    <row r="12" spans="2:13" x14ac:dyDescent="0.2">
      <c r="B12" s="1">
        <v>1989</v>
      </c>
      <c r="C12" s="1">
        <v>29</v>
      </c>
      <c r="D12" s="1">
        <v>54</v>
      </c>
      <c r="E12" s="1">
        <v>23</v>
      </c>
      <c r="F12" s="92">
        <v>0</v>
      </c>
      <c r="G12" s="1">
        <v>0</v>
      </c>
      <c r="H12" s="1">
        <f t="shared" si="0"/>
        <v>106</v>
      </c>
      <c r="J12" s="1">
        <v>74</v>
      </c>
      <c r="K12" s="97">
        <f t="shared" si="1"/>
        <v>69.811320754716974</v>
      </c>
      <c r="L12" s="1">
        <v>32</v>
      </c>
      <c r="M12" s="97">
        <f t="shared" si="2"/>
        <v>30.188679245283019</v>
      </c>
    </row>
    <row r="13" spans="2:13" x14ac:dyDescent="0.2">
      <c r="B13" s="1">
        <v>1990</v>
      </c>
      <c r="C13" s="1">
        <v>20</v>
      </c>
      <c r="D13" s="1">
        <v>92</v>
      </c>
      <c r="E13" s="1">
        <v>66</v>
      </c>
      <c r="F13" s="1">
        <v>2</v>
      </c>
      <c r="G13" s="1">
        <v>0</v>
      </c>
      <c r="H13" s="1">
        <f t="shared" si="0"/>
        <v>180</v>
      </c>
      <c r="J13" s="1">
        <v>96</v>
      </c>
      <c r="K13" s="97">
        <f t="shared" si="1"/>
        <v>53.333333333333336</v>
      </c>
      <c r="L13" s="1">
        <v>84</v>
      </c>
      <c r="M13" s="97">
        <f t="shared" si="2"/>
        <v>46.666666666666664</v>
      </c>
    </row>
    <row r="14" spans="2:13" x14ac:dyDescent="0.2">
      <c r="B14" s="1">
        <v>1991</v>
      </c>
      <c r="C14" s="1">
        <v>3</v>
      </c>
      <c r="D14" s="1">
        <v>50</v>
      </c>
      <c r="E14" s="1">
        <v>35</v>
      </c>
      <c r="F14" s="1">
        <v>2</v>
      </c>
      <c r="G14" s="1">
        <v>0</v>
      </c>
      <c r="H14" s="1">
        <f t="shared" si="0"/>
        <v>90</v>
      </c>
      <c r="J14" s="1">
        <v>40</v>
      </c>
      <c r="K14" s="97">
        <f t="shared" si="1"/>
        <v>44.444444444444443</v>
      </c>
      <c r="L14" s="1">
        <v>50</v>
      </c>
      <c r="M14" s="97">
        <f t="shared" si="2"/>
        <v>55.555555555555557</v>
      </c>
    </row>
    <row r="15" spans="2:13" x14ac:dyDescent="0.2">
      <c r="B15" s="1">
        <v>1992</v>
      </c>
      <c r="C15" s="1">
        <v>17</v>
      </c>
      <c r="D15" s="1">
        <v>148</v>
      </c>
      <c r="E15" s="1">
        <v>34</v>
      </c>
      <c r="F15" s="1">
        <v>1</v>
      </c>
      <c r="G15" s="1">
        <v>0</v>
      </c>
      <c r="H15" s="1">
        <f t="shared" si="0"/>
        <v>200</v>
      </c>
      <c r="J15" s="1">
        <v>121</v>
      </c>
      <c r="K15" s="97">
        <f t="shared" si="1"/>
        <v>60.5</v>
      </c>
      <c r="L15" s="1">
        <v>79</v>
      </c>
      <c r="M15" s="97">
        <f t="shared" si="2"/>
        <v>39.5</v>
      </c>
    </row>
    <row r="16" spans="2:13" x14ac:dyDescent="0.2">
      <c r="B16" s="1">
        <v>1993</v>
      </c>
      <c r="C16" s="1">
        <v>34</v>
      </c>
      <c r="D16" s="1">
        <v>123</v>
      </c>
      <c r="E16" s="1">
        <v>34</v>
      </c>
      <c r="F16" s="1">
        <v>1</v>
      </c>
      <c r="G16" s="1">
        <v>0</v>
      </c>
      <c r="H16" s="1">
        <f t="shared" si="0"/>
        <v>192</v>
      </c>
      <c r="J16" s="1">
        <v>119</v>
      </c>
      <c r="K16" s="97">
        <f t="shared" si="1"/>
        <v>61.979166666666664</v>
      </c>
      <c r="L16" s="1">
        <v>73</v>
      </c>
      <c r="M16" s="97">
        <f t="shared" si="2"/>
        <v>38.020833333333329</v>
      </c>
    </row>
    <row r="17" spans="2:13" x14ac:dyDescent="0.2">
      <c r="B17" s="1">
        <v>1994</v>
      </c>
      <c r="C17" s="1">
        <v>1</v>
      </c>
      <c r="D17" s="1">
        <v>10</v>
      </c>
      <c r="E17" s="1">
        <v>28</v>
      </c>
      <c r="F17" s="1">
        <v>5</v>
      </c>
      <c r="G17" s="1">
        <v>0</v>
      </c>
      <c r="H17" s="1">
        <f t="shared" si="0"/>
        <v>44</v>
      </c>
      <c r="J17" s="1">
        <v>2</v>
      </c>
      <c r="K17" s="97">
        <f t="shared" si="1"/>
        <v>4.5454545454545459</v>
      </c>
      <c r="L17" s="1">
        <v>42</v>
      </c>
      <c r="M17" s="97">
        <f t="shared" si="2"/>
        <v>95.454545454545453</v>
      </c>
    </row>
    <row r="18" spans="2:13" x14ac:dyDescent="0.2">
      <c r="B18" s="1">
        <v>1995</v>
      </c>
      <c r="C18" s="1">
        <v>0</v>
      </c>
      <c r="D18" s="1">
        <v>0</v>
      </c>
      <c r="E18" s="1">
        <v>5</v>
      </c>
      <c r="F18" s="1">
        <v>0</v>
      </c>
      <c r="G18" s="1">
        <v>0</v>
      </c>
      <c r="H18" s="1">
        <f t="shared" si="0"/>
        <v>5</v>
      </c>
      <c r="J18" s="1">
        <v>0</v>
      </c>
      <c r="K18" s="97">
        <f t="shared" si="1"/>
        <v>0</v>
      </c>
      <c r="L18" s="1">
        <v>5</v>
      </c>
      <c r="M18" s="97">
        <f t="shared" si="2"/>
        <v>100</v>
      </c>
    </row>
    <row r="19" spans="2:13" x14ac:dyDescent="0.2">
      <c r="B19" s="1">
        <v>1996</v>
      </c>
      <c r="C19" s="1">
        <v>1</v>
      </c>
      <c r="D19" s="1">
        <v>31</v>
      </c>
      <c r="E19" s="1">
        <v>36</v>
      </c>
      <c r="F19" s="1">
        <v>1</v>
      </c>
      <c r="G19" s="1">
        <v>0</v>
      </c>
      <c r="H19" s="1">
        <f t="shared" si="0"/>
        <v>69</v>
      </c>
      <c r="J19" s="1">
        <v>6</v>
      </c>
      <c r="K19" s="97">
        <f t="shared" si="1"/>
        <v>8.695652173913043</v>
      </c>
      <c r="L19" s="1">
        <v>63</v>
      </c>
      <c r="M19" s="97">
        <f t="shared" si="2"/>
        <v>91.304347826086953</v>
      </c>
    </row>
    <row r="20" spans="2:13" x14ac:dyDescent="0.2">
      <c r="B20" s="1">
        <v>1997</v>
      </c>
      <c r="C20" s="1">
        <v>2</v>
      </c>
      <c r="D20" s="1">
        <v>37</v>
      </c>
      <c r="E20" s="1">
        <v>34</v>
      </c>
      <c r="F20" s="1">
        <v>0</v>
      </c>
      <c r="G20" s="1">
        <v>0</v>
      </c>
      <c r="H20" s="1">
        <f t="shared" si="0"/>
        <v>73</v>
      </c>
      <c r="J20" s="1">
        <v>22</v>
      </c>
      <c r="K20" s="97">
        <f t="shared" si="1"/>
        <v>30.136986301369863</v>
      </c>
      <c r="L20" s="1">
        <v>51</v>
      </c>
      <c r="M20" s="97">
        <f t="shared" si="2"/>
        <v>69.863013698630141</v>
      </c>
    </row>
    <row r="21" spans="2:13" x14ac:dyDescent="0.2">
      <c r="B21" s="1">
        <v>1998</v>
      </c>
      <c r="C21" s="1">
        <v>0</v>
      </c>
      <c r="D21" s="1">
        <v>16</v>
      </c>
      <c r="E21" s="1">
        <v>7</v>
      </c>
      <c r="F21" s="1">
        <v>3</v>
      </c>
      <c r="G21" s="1">
        <v>0</v>
      </c>
      <c r="H21" s="1">
        <f t="shared" si="0"/>
        <v>26</v>
      </c>
      <c r="J21" s="1">
        <v>3</v>
      </c>
      <c r="K21" s="97">
        <f t="shared" si="1"/>
        <v>11.538461538461538</v>
      </c>
      <c r="L21" s="1">
        <v>23</v>
      </c>
      <c r="M21" s="97">
        <f t="shared" si="2"/>
        <v>88.461538461538453</v>
      </c>
    </row>
    <row r="22" spans="2:13" x14ac:dyDescent="0.2">
      <c r="B22" s="1">
        <v>1999</v>
      </c>
      <c r="C22" s="1">
        <v>1</v>
      </c>
      <c r="D22" s="1">
        <v>34</v>
      </c>
      <c r="E22" s="1">
        <v>6</v>
      </c>
      <c r="F22" s="1">
        <v>0</v>
      </c>
      <c r="G22" s="1">
        <v>0</v>
      </c>
      <c r="H22" s="1">
        <f t="shared" si="0"/>
        <v>41</v>
      </c>
      <c r="J22" s="1">
        <v>3</v>
      </c>
      <c r="K22" s="97">
        <f t="shared" si="1"/>
        <v>7.3170731707317067</v>
      </c>
      <c r="L22" s="1">
        <v>38</v>
      </c>
      <c r="M22" s="97">
        <f t="shared" si="2"/>
        <v>92.682926829268297</v>
      </c>
    </row>
    <row r="23" spans="2:13" x14ac:dyDescent="0.2">
      <c r="B23" s="1">
        <v>2000</v>
      </c>
      <c r="C23" s="1">
        <v>4</v>
      </c>
      <c r="D23" s="1">
        <v>68</v>
      </c>
      <c r="E23" s="1">
        <v>20</v>
      </c>
      <c r="F23" s="1">
        <v>0</v>
      </c>
      <c r="G23" s="1">
        <v>0</v>
      </c>
      <c r="H23" s="1">
        <f t="shared" si="0"/>
        <v>92</v>
      </c>
      <c r="J23" s="1">
        <v>45</v>
      </c>
      <c r="K23" s="97">
        <f t="shared" si="1"/>
        <v>48.913043478260867</v>
      </c>
      <c r="L23" s="1">
        <v>47</v>
      </c>
      <c r="M23" s="97">
        <f t="shared" si="2"/>
        <v>51.086956521739133</v>
      </c>
    </row>
    <row r="24" spans="2:13" x14ac:dyDescent="0.2">
      <c r="B24" s="1">
        <v>2001</v>
      </c>
      <c r="C24" s="1">
        <v>22</v>
      </c>
      <c r="D24" s="1">
        <v>194</v>
      </c>
      <c r="E24" s="1">
        <v>80</v>
      </c>
      <c r="F24" s="1">
        <v>1</v>
      </c>
      <c r="G24" s="1">
        <v>0</v>
      </c>
      <c r="H24" s="1">
        <f t="shared" si="0"/>
        <v>297</v>
      </c>
      <c r="J24" s="1">
        <v>166</v>
      </c>
      <c r="K24" s="97">
        <f t="shared" si="1"/>
        <v>55.892255892255896</v>
      </c>
      <c r="L24" s="1">
        <v>131</v>
      </c>
      <c r="M24" s="97">
        <f t="shared" si="2"/>
        <v>44.107744107744104</v>
      </c>
    </row>
    <row r="25" spans="2:13" x14ac:dyDescent="0.2">
      <c r="B25" s="1">
        <v>2002</v>
      </c>
      <c r="C25" s="1">
        <v>29</v>
      </c>
      <c r="D25" s="1">
        <v>214</v>
      </c>
      <c r="E25" s="1">
        <v>45</v>
      </c>
      <c r="F25" s="1">
        <v>11</v>
      </c>
      <c r="G25" s="1">
        <v>0</v>
      </c>
      <c r="H25" s="1">
        <f t="shared" si="0"/>
        <v>299</v>
      </c>
      <c r="J25" s="1">
        <v>200</v>
      </c>
      <c r="K25" s="97">
        <f t="shared" si="1"/>
        <v>66.889632107023417</v>
      </c>
      <c r="L25" s="1">
        <v>99</v>
      </c>
      <c r="M25" s="97">
        <f t="shared" si="2"/>
        <v>33.110367892976591</v>
      </c>
    </row>
    <row r="26" spans="2:13" x14ac:dyDescent="0.2">
      <c r="B26" s="1">
        <v>2003</v>
      </c>
      <c r="C26" s="1">
        <v>3</v>
      </c>
      <c r="D26" s="1">
        <v>89</v>
      </c>
      <c r="E26" s="1">
        <v>26</v>
      </c>
      <c r="F26" s="1">
        <v>0</v>
      </c>
      <c r="G26" s="1">
        <v>0</v>
      </c>
      <c r="H26" s="1">
        <f t="shared" si="0"/>
        <v>118</v>
      </c>
      <c r="J26" s="1">
        <v>61</v>
      </c>
      <c r="K26" s="97">
        <f t="shared" si="1"/>
        <v>51.694915254237287</v>
      </c>
      <c r="L26" s="1">
        <v>57</v>
      </c>
      <c r="M26" s="97">
        <f t="shared" si="2"/>
        <v>48.305084745762713</v>
      </c>
    </row>
    <row r="27" spans="2:13" x14ac:dyDescent="0.2">
      <c r="B27" s="1">
        <v>2004</v>
      </c>
      <c r="C27" s="1">
        <v>24</v>
      </c>
      <c r="D27" s="1">
        <v>119</v>
      </c>
      <c r="E27" s="1">
        <v>17</v>
      </c>
      <c r="F27" s="1">
        <v>0</v>
      </c>
      <c r="G27" s="1">
        <v>0</v>
      </c>
      <c r="H27" s="1">
        <f t="shared" si="0"/>
        <v>160</v>
      </c>
      <c r="J27" s="1">
        <v>112</v>
      </c>
      <c r="K27" s="97">
        <f t="shared" si="1"/>
        <v>70</v>
      </c>
      <c r="L27" s="1">
        <v>48</v>
      </c>
      <c r="M27" s="97">
        <f t="shared" si="2"/>
        <v>30</v>
      </c>
    </row>
    <row r="28" spans="2:13" x14ac:dyDescent="0.2">
      <c r="B28" s="1">
        <v>2005</v>
      </c>
      <c r="C28" s="1">
        <v>4</v>
      </c>
      <c r="D28" s="1">
        <v>71</v>
      </c>
      <c r="E28" s="1">
        <v>27</v>
      </c>
      <c r="F28" s="1">
        <v>5</v>
      </c>
      <c r="G28" s="1">
        <v>0</v>
      </c>
      <c r="H28" s="1">
        <f t="shared" si="0"/>
        <v>107</v>
      </c>
      <c r="J28" s="1">
        <v>46</v>
      </c>
      <c r="K28" s="97">
        <f t="shared" si="1"/>
        <v>42.990654205607477</v>
      </c>
      <c r="L28" s="1">
        <v>61</v>
      </c>
      <c r="M28" s="97">
        <f t="shared" si="2"/>
        <v>57.009345794392516</v>
      </c>
    </row>
    <row r="29" spans="2:13" x14ac:dyDescent="0.2">
      <c r="B29" s="1">
        <v>2006</v>
      </c>
      <c r="C29" s="1">
        <v>2</v>
      </c>
      <c r="D29" s="1">
        <v>81</v>
      </c>
      <c r="E29" s="1">
        <v>17</v>
      </c>
      <c r="F29" s="1">
        <v>3</v>
      </c>
      <c r="G29" s="1">
        <v>6</v>
      </c>
      <c r="H29" s="1">
        <f t="shared" si="0"/>
        <v>109</v>
      </c>
      <c r="J29" s="1">
        <v>58</v>
      </c>
      <c r="K29" s="97">
        <f t="shared" si="1"/>
        <v>53.211009174311933</v>
      </c>
      <c r="L29" s="1">
        <v>51</v>
      </c>
      <c r="M29" s="97">
        <f t="shared" si="2"/>
        <v>46.788990825688074</v>
      </c>
    </row>
    <row r="30" spans="2:13" x14ac:dyDescent="0.2">
      <c r="B30" s="1">
        <v>2007</v>
      </c>
      <c r="C30" s="1">
        <v>2</v>
      </c>
      <c r="D30" s="1">
        <v>63</v>
      </c>
      <c r="E30" s="1">
        <v>16</v>
      </c>
      <c r="F30" s="1">
        <v>0</v>
      </c>
      <c r="G30" s="1">
        <v>0</v>
      </c>
      <c r="H30" s="1">
        <f t="shared" si="0"/>
        <v>81</v>
      </c>
      <c r="J30" s="1">
        <v>32</v>
      </c>
      <c r="K30" s="97">
        <f t="shared" si="1"/>
        <v>39.506172839506171</v>
      </c>
      <c r="L30" s="1">
        <v>49</v>
      </c>
      <c r="M30" s="97">
        <f t="shared" si="2"/>
        <v>60.493827160493829</v>
      </c>
    </row>
    <row r="31" spans="2:13" x14ac:dyDescent="0.2">
      <c r="B31" s="1">
        <v>2008</v>
      </c>
      <c r="C31" s="1">
        <v>30</v>
      </c>
      <c r="D31" s="1">
        <v>146</v>
      </c>
      <c r="E31" s="1">
        <v>22</v>
      </c>
      <c r="F31" s="1">
        <v>1</v>
      </c>
      <c r="G31" s="1">
        <v>0</v>
      </c>
      <c r="H31" s="1">
        <f t="shared" si="0"/>
        <v>199</v>
      </c>
      <c r="J31" s="1">
        <v>141</v>
      </c>
      <c r="K31" s="97">
        <f t="shared" si="1"/>
        <v>70.854271356783912</v>
      </c>
      <c r="L31" s="1">
        <v>58</v>
      </c>
      <c r="M31" s="97">
        <f t="shared" si="2"/>
        <v>29.145728643216078</v>
      </c>
    </row>
    <row r="32" spans="2:13" x14ac:dyDescent="0.2">
      <c r="B32" s="1">
        <v>2009</v>
      </c>
      <c r="C32" s="1">
        <v>67</v>
      </c>
      <c r="D32" s="1">
        <v>329</v>
      </c>
      <c r="E32" s="1">
        <v>52</v>
      </c>
      <c r="F32" s="1">
        <v>3</v>
      </c>
      <c r="G32" s="1">
        <v>0</v>
      </c>
      <c r="H32" s="1">
        <f t="shared" si="0"/>
        <v>451</v>
      </c>
      <c r="J32" s="1">
        <v>292</v>
      </c>
      <c r="K32" s="97">
        <f t="shared" si="1"/>
        <v>64.745011086474506</v>
      </c>
      <c r="L32" s="1">
        <v>159</v>
      </c>
      <c r="M32" s="97">
        <f t="shared" si="2"/>
        <v>35.254988913525494</v>
      </c>
    </row>
    <row r="33" spans="2:13" x14ac:dyDescent="0.2">
      <c r="B33" s="1">
        <v>2010</v>
      </c>
      <c r="C33" s="1">
        <v>83</v>
      </c>
      <c r="D33" s="1">
        <v>289</v>
      </c>
      <c r="E33" s="1">
        <v>106</v>
      </c>
      <c r="F33" s="1">
        <v>3</v>
      </c>
      <c r="G33" s="1">
        <v>0</v>
      </c>
      <c r="H33" s="1">
        <f t="shared" si="0"/>
        <v>481</v>
      </c>
      <c r="J33" s="1">
        <v>297</v>
      </c>
      <c r="K33" s="97">
        <f t="shared" si="1"/>
        <v>61.746361746361742</v>
      </c>
      <c r="L33" s="1">
        <v>184</v>
      </c>
      <c r="M33" s="97">
        <f t="shared" si="2"/>
        <v>38.253638253638258</v>
      </c>
    </row>
    <row r="34" spans="2:13" x14ac:dyDescent="0.2">
      <c r="B34" s="1">
        <v>2011</v>
      </c>
      <c r="C34" s="1">
        <v>35</v>
      </c>
      <c r="D34" s="1">
        <v>196</v>
      </c>
      <c r="E34" s="1">
        <v>53</v>
      </c>
      <c r="F34" s="1">
        <v>12</v>
      </c>
      <c r="G34" s="1">
        <v>1</v>
      </c>
      <c r="H34" s="1">
        <f t="shared" si="0"/>
        <v>297</v>
      </c>
      <c r="J34" s="1">
        <v>165</v>
      </c>
      <c r="K34" s="97">
        <f t="shared" si="1"/>
        <v>55.555555555555557</v>
      </c>
      <c r="L34" s="1">
        <v>132</v>
      </c>
      <c r="M34" s="97">
        <f t="shared" si="2"/>
        <v>44.444444444444443</v>
      </c>
    </row>
    <row r="35" spans="2:13" x14ac:dyDescent="0.2">
      <c r="B35" s="1">
        <v>2012</v>
      </c>
      <c r="C35" s="1">
        <v>11</v>
      </c>
      <c r="D35" s="1">
        <v>132</v>
      </c>
      <c r="E35" s="1">
        <v>23</v>
      </c>
      <c r="F35" s="1">
        <v>2</v>
      </c>
      <c r="G35" s="1">
        <v>1</v>
      </c>
      <c r="H35" s="1">
        <f t="shared" si="0"/>
        <v>169</v>
      </c>
      <c r="J35" s="1">
        <v>84</v>
      </c>
      <c r="K35" s="97">
        <f t="shared" si="1"/>
        <v>49.704142011834321</v>
      </c>
      <c r="L35" s="1">
        <v>85</v>
      </c>
      <c r="M35" s="97">
        <f t="shared" si="2"/>
        <v>50.295857988165679</v>
      </c>
    </row>
    <row r="36" spans="2:13" x14ac:dyDescent="0.2">
      <c r="B36" s="1">
        <v>2013</v>
      </c>
      <c r="C36" s="1">
        <v>3</v>
      </c>
      <c r="D36" s="1">
        <v>42</v>
      </c>
      <c r="E36" s="1">
        <v>15</v>
      </c>
      <c r="F36" s="1">
        <v>2</v>
      </c>
      <c r="G36" s="1">
        <v>2</v>
      </c>
      <c r="H36" s="1">
        <f t="shared" si="0"/>
        <v>64</v>
      </c>
      <c r="J36" s="1">
        <v>25</v>
      </c>
      <c r="K36" s="97">
        <f t="shared" si="1"/>
        <v>39.0625</v>
      </c>
      <c r="L36" s="1">
        <v>39</v>
      </c>
      <c r="M36" s="97">
        <f t="shared" si="2"/>
        <v>60.9375</v>
      </c>
    </row>
    <row r="37" spans="2:13" x14ac:dyDescent="0.2">
      <c r="B37" s="1">
        <v>2014</v>
      </c>
      <c r="C37" s="1">
        <v>26</v>
      </c>
      <c r="D37" s="1">
        <v>70</v>
      </c>
      <c r="E37" s="1">
        <v>25</v>
      </c>
      <c r="F37" s="1">
        <v>2</v>
      </c>
      <c r="G37" s="1">
        <v>1</v>
      </c>
      <c r="H37" s="1">
        <f t="shared" si="0"/>
        <v>124</v>
      </c>
      <c r="J37" s="1">
        <v>83</v>
      </c>
      <c r="K37" s="97">
        <f t="shared" si="1"/>
        <v>66.935483870967744</v>
      </c>
      <c r="L37" s="1">
        <v>41</v>
      </c>
      <c r="M37" s="97">
        <f t="shared" si="2"/>
        <v>33.064516129032256</v>
      </c>
    </row>
    <row r="38" spans="2:13" x14ac:dyDescent="0.2">
      <c r="B38" s="1">
        <v>2015</v>
      </c>
      <c r="C38" s="1">
        <v>56</v>
      </c>
      <c r="D38" s="1">
        <v>91</v>
      </c>
      <c r="E38" s="1">
        <v>33</v>
      </c>
      <c r="F38" s="1">
        <v>5</v>
      </c>
      <c r="G38" s="1">
        <v>6</v>
      </c>
      <c r="H38" s="1">
        <f t="shared" si="0"/>
        <v>191</v>
      </c>
      <c r="J38" s="1">
        <v>120</v>
      </c>
      <c r="K38" s="97">
        <f t="shared" si="1"/>
        <v>62.827225130890049</v>
      </c>
      <c r="L38" s="1">
        <v>71</v>
      </c>
      <c r="M38" s="97">
        <f t="shared" si="2"/>
        <v>37.172774869109951</v>
      </c>
    </row>
    <row r="39" spans="2:13" x14ac:dyDescent="0.2">
      <c r="B39" s="1">
        <v>2016</v>
      </c>
      <c r="C39" s="1">
        <v>37</v>
      </c>
      <c r="D39" s="1">
        <v>79</v>
      </c>
      <c r="E39" s="1">
        <v>31</v>
      </c>
      <c r="F39" s="1">
        <v>5</v>
      </c>
      <c r="G39" s="1">
        <v>2</v>
      </c>
      <c r="H39" s="1">
        <f t="shared" si="0"/>
        <v>154</v>
      </c>
      <c r="J39" s="1">
        <v>83</v>
      </c>
      <c r="K39" s="97">
        <f t="shared" si="1"/>
        <v>53.896103896103895</v>
      </c>
      <c r="L39" s="1">
        <v>71</v>
      </c>
      <c r="M39" s="97">
        <f t="shared" si="2"/>
        <v>46.103896103896105</v>
      </c>
    </row>
    <row r="40" spans="2:13" x14ac:dyDescent="0.2">
      <c r="B40" s="1">
        <v>2017</v>
      </c>
      <c r="C40" s="1">
        <v>8</v>
      </c>
      <c r="D40" s="1">
        <v>47</v>
      </c>
      <c r="E40" s="1">
        <v>15</v>
      </c>
      <c r="F40" s="1">
        <v>0</v>
      </c>
      <c r="G40" s="1">
        <v>0</v>
      </c>
      <c r="H40" s="1">
        <f t="shared" si="0"/>
        <v>70</v>
      </c>
      <c r="J40" s="1">
        <v>29</v>
      </c>
      <c r="K40" s="97">
        <f t="shared" si="1"/>
        <v>41.428571428571431</v>
      </c>
      <c r="L40" s="1">
        <v>41</v>
      </c>
      <c r="M40" s="97">
        <f t="shared" si="2"/>
        <v>58.571428571428577</v>
      </c>
    </row>
    <row r="41" spans="2:13" x14ac:dyDescent="0.2">
      <c r="B41" s="1">
        <v>2018</v>
      </c>
      <c r="C41" s="1">
        <v>31</v>
      </c>
      <c r="D41" s="1">
        <v>64</v>
      </c>
      <c r="E41" s="1">
        <v>13</v>
      </c>
      <c r="F41" s="1">
        <v>0</v>
      </c>
      <c r="G41" s="1">
        <v>1</v>
      </c>
      <c r="H41" s="1">
        <f t="shared" si="0"/>
        <v>109</v>
      </c>
      <c r="J41" s="1">
        <v>77</v>
      </c>
      <c r="K41" s="97">
        <f t="shared" si="1"/>
        <v>70.642201834862391</v>
      </c>
      <c r="L41" s="1">
        <v>32</v>
      </c>
      <c r="M41" s="97">
        <f t="shared" si="2"/>
        <v>29.357798165137616</v>
      </c>
    </row>
    <row r="42" spans="2:13" x14ac:dyDescent="0.2">
      <c r="B42" s="1">
        <v>2019</v>
      </c>
      <c r="C42" s="1">
        <v>0</v>
      </c>
      <c r="D42" s="1">
        <v>9</v>
      </c>
      <c r="E42" s="1">
        <v>1</v>
      </c>
      <c r="F42" s="1">
        <v>0</v>
      </c>
      <c r="G42" s="1">
        <v>1</v>
      </c>
      <c r="H42" s="1">
        <f t="shared" si="0"/>
        <v>11</v>
      </c>
      <c r="J42" s="1">
        <v>3</v>
      </c>
      <c r="K42" s="97">
        <f t="shared" si="1"/>
        <v>27.27272727272727</v>
      </c>
      <c r="L42" s="1">
        <v>8</v>
      </c>
      <c r="M42" s="97">
        <f t="shared" si="2"/>
        <v>72.727272727272734</v>
      </c>
    </row>
    <row r="43" spans="2:13" x14ac:dyDescent="0.2">
      <c r="B43" s="1">
        <v>2020</v>
      </c>
      <c r="C43" s="1">
        <v>0</v>
      </c>
      <c r="D43" s="1">
        <v>10</v>
      </c>
      <c r="E43" s="1">
        <v>2</v>
      </c>
      <c r="F43" s="1">
        <v>2</v>
      </c>
      <c r="G43" s="1">
        <v>0</v>
      </c>
      <c r="H43" s="1">
        <f t="shared" si="0"/>
        <v>14</v>
      </c>
      <c r="J43" s="1">
        <v>2</v>
      </c>
      <c r="K43" s="97">
        <f t="shared" si="1"/>
        <v>14.285714285714285</v>
      </c>
      <c r="L43" s="1">
        <v>12</v>
      </c>
      <c r="M43" s="97">
        <f t="shared" si="2"/>
        <v>85.714285714285708</v>
      </c>
    </row>
    <row r="44" spans="2:13" x14ac:dyDescent="0.2">
      <c r="B44" s="1">
        <v>2021</v>
      </c>
      <c r="C44" s="92" t="s">
        <v>193</v>
      </c>
      <c r="D44" s="1">
        <v>17</v>
      </c>
      <c r="E44" s="1">
        <v>13</v>
      </c>
      <c r="F44" s="1">
        <v>2</v>
      </c>
      <c r="G44" s="1">
        <v>3</v>
      </c>
      <c r="H44" s="1">
        <f t="shared" si="0"/>
        <v>35</v>
      </c>
      <c r="J44" s="1">
        <v>4</v>
      </c>
      <c r="K44" s="97">
        <f t="shared" si="1"/>
        <v>11.428571428571429</v>
      </c>
      <c r="L44" s="1">
        <v>31</v>
      </c>
      <c r="M44" s="97">
        <f t="shared" si="2"/>
        <v>88.571428571428569</v>
      </c>
    </row>
    <row r="45" spans="2:13" x14ac:dyDescent="0.2">
      <c r="B45" s="1">
        <v>2022</v>
      </c>
      <c r="C45" s="1">
        <v>15</v>
      </c>
      <c r="D45" s="1">
        <v>19</v>
      </c>
      <c r="E45" s="1">
        <v>6</v>
      </c>
      <c r="F45" s="1">
        <v>1</v>
      </c>
      <c r="G45" s="1">
        <v>0</v>
      </c>
      <c r="H45" s="1">
        <f t="shared" si="0"/>
        <v>41</v>
      </c>
      <c r="J45" s="1">
        <v>23</v>
      </c>
      <c r="K45" s="97">
        <f t="shared" si="1"/>
        <v>56.09756097560976</v>
      </c>
      <c r="L45" s="1">
        <v>18</v>
      </c>
      <c r="M45" s="97">
        <f t="shared" si="2"/>
        <v>43.902439024390247</v>
      </c>
    </row>
    <row r="46" spans="2:13" x14ac:dyDescent="0.2">
      <c r="B46" s="1"/>
      <c r="C46" s="1"/>
      <c r="D46" s="1"/>
      <c r="E46" s="1"/>
      <c r="F46" s="1"/>
      <c r="G46" s="1"/>
      <c r="H46" s="1"/>
      <c r="J46" s="1"/>
      <c r="K46" s="97"/>
      <c r="L46" s="1"/>
      <c r="M46" s="97"/>
    </row>
    <row r="47" spans="2:13" x14ac:dyDescent="0.2">
      <c r="B47" s="1"/>
      <c r="G47" s="1"/>
      <c r="K47" s="98"/>
      <c r="M47" s="98"/>
    </row>
  </sheetData>
  <pageMargins left="0.7" right="0.7" top="0.75" bottom="0.75" header="0.3" footer="0.3"/>
  <pageSetup scale="76" orientation="landscape" r:id="rId1"/>
  <ignoredErrors>
    <ignoredError sqref="H8:H4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76E5-1539-4BF2-A857-A215BBA83833}">
  <dimension ref="A1:Q129"/>
  <sheetViews>
    <sheetView workbookViewId="0">
      <pane ySplit="3" topLeftCell="A18" activePane="bottomLeft" state="frozen"/>
      <selection pane="bottomLeft" activeCell="Q41" sqref="Q41"/>
    </sheetView>
  </sheetViews>
  <sheetFormatPr defaultRowHeight="12.75" x14ac:dyDescent="0.2"/>
  <cols>
    <col min="1" max="1" width="10.42578125" customWidth="1"/>
    <col min="5" max="5" width="38.28515625" customWidth="1"/>
    <col min="6" max="6" width="10.140625" customWidth="1"/>
    <col min="16" max="16" width="17.42578125" customWidth="1"/>
  </cols>
  <sheetData>
    <row r="1" spans="1:16" x14ac:dyDescent="0.2">
      <c r="A1" s="2"/>
      <c r="B1" s="2"/>
      <c r="C1" s="2"/>
      <c r="D1" s="2"/>
      <c r="E1" s="2"/>
      <c r="I1" s="3" t="s">
        <v>24</v>
      </c>
      <c r="J1" s="3"/>
      <c r="K1" s="3"/>
    </row>
    <row r="2" spans="1:16" x14ac:dyDescent="0.2">
      <c r="D2" s="2" t="s">
        <v>113</v>
      </c>
      <c r="F2" s="2" t="s">
        <v>4</v>
      </c>
      <c r="G2" s="2" t="s">
        <v>140</v>
      </c>
      <c r="H2" s="2" t="s">
        <v>3</v>
      </c>
      <c r="J2" s="2" t="s">
        <v>8</v>
      </c>
      <c r="K2" s="2"/>
      <c r="P2" s="21" t="s">
        <v>154</v>
      </c>
    </row>
    <row r="3" spans="1:16" ht="13.5" thickBot="1" x14ac:dyDescent="0.25">
      <c r="A3" s="2" t="s">
        <v>0</v>
      </c>
      <c r="B3" s="2" t="s">
        <v>1</v>
      </c>
      <c r="C3" s="2" t="s">
        <v>108</v>
      </c>
      <c r="D3" s="2" t="s">
        <v>114</v>
      </c>
      <c r="E3" s="2" t="s">
        <v>2</v>
      </c>
      <c r="F3" s="2" t="s">
        <v>26</v>
      </c>
      <c r="G3" s="2" t="s">
        <v>3</v>
      </c>
      <c r="H3" s="2" t="s">
        <v>73</v>
      </c>
      <c r="I3" s="2" t="s">
        <v>5</v>
      </c>
      <c r="J3" s="4" t="s">
        <v>6</v>
      </c>
      <c r="K3" s="4" t="s">
        <v>7</v>
      </c>
      <c r="L3" s="1" t="s">
        <v>109</v>
      </c>
      <c r="M3" s="21" t="s">
        <v>110</v>
      </c>
      <c r="N3" s="21" t="s">
        <v>111</v>
      </c>
      <c r="O3" s="21" t="s">
        <v>112</v>
      </c>
      <c r="P3" s="21" t="s">
        <v>155</v>
      </c>
    </row>
    <row r="4" spans="1:16" x14ac:dyDescent="0.2">
      <c r="A4" s="57"/>
      <c r="B4" s="1"/>
      <c r="C4" s="33" t="s">
        <v>27</v>
      </c>
      <c r="D4" s="16">
        <v>1</v>
      </c>
      <c r="E4" s="50" t="s">
        <v>9</v>
      </c>
      <c r="F4" s="16">
        <v>6</v>
      </c>
      <c r="G4" s="33">
        <v>0</v>
      </c>
      <c r="H4" s="56">
        <f t="shared" ref="H4:H68" si="0">G4/F4</f>
        <v>0</v>
      </c>
      <c r="I4" s="16">
        <v>0</v>
      </c>
      <c r="J4" s="36">
        <v>0</v>
      </c>
      <c r="K4" s="36">
        <v>0</v>
      </c>
      <c r="L4" s="1">
        <v>0</v>
      </c>
      <c r="M4" s="21">
        <v>0</v>
      </c>
      <c r="N4" s="21">
        <v>0</v>
      </c>
      <c r="O4" s="21">
        <v>0</v>
      </c>
      <c r="P4" s="21">
        <v>0</v>
      </c>
    </row>
    <row r="5" spans="1:16" x14ac:dyDescent="0.2">
      <c r="A5" s="57"/>
      <c r="B5" s="1"/>
      <c r="C5" s="33" t="s">
        <v>27</v>
      </c>
      <c r="D5" s="16">
        <v>1</v>
      </c>
      <c r="E5" s="50" t="s">
        <v>9</v>
      </c>
      <c r="F5" s="16">
        <v>6</v>
      </c>
      <c r="G5" s="33">
        <v>0</v>
      </c>
      <c r="H5" s="56">
        <f t="shared" si="0"/>
        <v>0</v>
      </c>
      <c r="I5" s="16">
        <v>0</v>
      </c>
      <c r="J5" s="36">
        <v>0</v>
      </c>
      <c r="K5" s="36">
        <v>0</v>
      </c>
      <c r="L5" s="1">
        <v>0</v>
      </c>
      <c r="M5" s="21">
        <v>0</v>
      </c>
      <c r="N5" s="21">
        <v>0</v>
      </c>
      <c r="O5" s="21">
        <v>0</v>
      </c>
      <c r="P5" s="21">
        <v>0</v>
      </c>
    </row>
    <row r="6" spans="1:16" x14ac:dyDescent="0.2">
      <c r="A6" s="57"/>
      <c r="B6" s="1"/>
      <c r="C6" s="33" t="s">
        <v>27</v>
      </c>
      <c r="D6" s="16">
        <v>1</v>
      </c>
      <c r="E6" s="50" t="s">
        <v>9</v>
      </c>
      <c r="F6" s="16">
        <v>6</v>
      </c>
      <c r="G6" s="33">
        <v>0</v>
      </c>
      <c r="H6" s="56">
        <f t="shared" si="0"/>
        <v>0</v>
      </c>
      <c r="I6" s="16">
        <v>0</v>
      </c>
      <c r="J6" s="36">
        <v>0</v>
      </c>
      <c r="K6" s="36">
        <v>0</v>
      </c>
      <c r="L6" s="1">
        <v>0</v>
      </c>
      <c r="M6" s="21">
        <v>0</v>
      </c>
      <c r="N6" s="21">
        <v>0</v>
      </c>
      <c r="O6" s="21">
        <v>0</v>
      </c>
      <c r="P6" s="21">
        <v>0</v>
      </c>
    </row>
    <row r="7" spans="1:16" x14ac:dyDescent="0.2">
      <c r="A7" s="57"/>
      <c r="B7" s="1"/>
      <c r="C7" s="33" t="s">
        <v>28</v>
      </c>
      <c r="D7" s="16">
        <v>2</v>
      </c>
      <c r="E7" s="50" t="s">
        <v>10</v>
      </c>
      <c r="F7" s="16">
        <v>3</v>
      </c>
      <c r="G7" s="16">
        <v>0</v>
      </c>
      <c r="H7" s="56">
        <f t="shared" si="0"/>
        <v>0</v>
      </c>
      <c r="I7" s="16">
        <v>0</v>
      </c>
      <c r="J7" s="36">
        <v>0</v>
      </c>
      <c r="K7" s="36">
        <v>0</v>
      </c>
      <c r="L7" s="1">
        <v>0</v>
      </c>
      <c r="M7" s="21">
        <v>0</v>
      </c>
      <c r="N7" s="21">
        <v>0</v>
      </c>
      <c r="O7" s="21">
        <v>0</v>
      </c>
      <c r="P7" s="21">
        <v>0</v>
      </c>
    </row>
    <row r="8" spans="1:16" x14ac:dyDescent="0.2">
      <c r="A8" s="57"/>
      <c r="B8" s="1"/>
      <c r="C8" s="33" t="s">
        <v>28</v>
      </c>
      <c r="D8" s="16">
        <v>2</v>
      </c>
      <c r="E8" s="50" t="s">
        <v>10</v>
      </c>
      <c r="F8" s="16">
        <v>3</v>
      </c>
      <c r="G8" s="16">
        <v>0</v>
      </c>
      <c r="H8" s="56">
        <f t="shared" si="0"/>
        <v>0</v>
      </c>
      <c r="I8" s="16">
        <v>0</v>
      </c>
      <c r="J8" s="36">
        <v>0</v>
      </c>
      <c r="K8" s="36">
        <v>0</v>
      </c>
      <c r="L8" s="1">
        <v>0</v>
      </c>
      <c r="M8" s="21">
        <v>0</v>
      </c>
      <c r="N8" s="21">
        <v>0</v>
      </c>
      <c r="O8" s="21">
        <v>0</v>
      </c>
      <c r="P8" s="21">
        <v>0</v>
      </c>
    </row>
    <row r="9" spans="1:16" x14ac:dyDescent="0.2">
      <c r="A9" s="57"/>
      <c r="B9" s="1"/>
      <c r="C9" s="33" t="s">
        <v>28</v>
      </c>
      <c r="D9" s="16">
        <v>2</v>
      </c>
      <c r="E9" s="50" t="s">
        <v>10</v>
      </c>
      <c r="F9" s="16">
        <v>3</v>
      </c>
      <c r="G9" s="16">
        <v>0</v>
      </c>
      <c r="H9" s="56">
        <f t="shared" si="0"/>
        <v>0</v>
      </c>
      <c r="I9" s="16">
        <v>0</v>
      </c>
      <c r="J9" s="36">
        <v>0</v>
      </c>
      <c r="K9" s="36">
        <v>0</v>
      </c>
      <c r="L9" s="1">
        <v>0</v>
      </c>
      <c r="M9" s="21">
        <v>0</v>
      </c>
      <c r="N9" s="21">
        <v>0</v>
      </c>
      <c r="O9" s="21">
        <v>0</v>
      </c>
      <c r="P9" s="21">
        <v>0</v>
      </c>
    </row>
    <row r="10" spans="1:16" x14ac:dyDescent="0.2">
      <c r="A10" s="57"/>
      <c r="B10" s="1"/>
      <c r="C10" s="33" t="s">
        <v>28</v>
      </c>
      <c r="D10" s="16">
        <v>2</v>
      </c>
      <c r="E10" s="50" t="s">
        <v>10</v>
      </c>
      <c r="F10" s="16">
        <v>3</v>
      </c>
      <c r="G10" s="16">
        <v>0</v>
      </c>
      <c r="H10" s="56">
        <f t="shared" si="0"/>
        <v>0</v>
      </c>
      <c r="I10" s="16">
        <v>0</v>
      </c>
      <c r="J10" s="36">
        <v>0</v>
      </c>
      <c r="K10" s="36">
        <v>0</v>
      </c>
      <c r="L10" s="1">
        <v>0</v>
      </c>
      <c r="M10" s="21">
        <v>0</v>
      </c>
      <c r="N10" s="21">
        <v>0</v>
      </c>
      <c r="O10" s="21">
        <v>0</v>
      </c>
      <c r="P10" s="21">
        <v>0</v>
      </c>
    </row>
    <row r="11" spans="1:16" x14ac:dyDescent="0.2">
      <c r="A11" s="57">
        <v>45097</v>
      </c>
      <c r="B11" s="16" t="s">
        <v>127</v>
      </c>
      <c r="C11" s="33" t="s">
        <v>29</v>
      </c>
      <c r="D11" s="16">
        <v>3</v>
      </c>
      <c r="E11" s="50" t="s">
        <v>11</v>
      </c>
      <c r="F11" s="16">
        <v>2</v>
      </c>
      <c r="G11" s="16">
        <v>0</v>
      </c>
      <c r="H11" s="56">
        <f t="shared" si="0"/>
        <v>0</v>
      </c>
      <c r="I11" s="16">
        <v>0</v>
      </c>
      <c r="J11" s="36">
        <v>0</v>
      </c>
      <c r="K11" s="36">
        <v>0</v>
      </c>
      <c r="L11" s="1">
        <v>0</v>
      </c>
      <c r="M11" s="21">
        <v>0</v>
      </c>
      <c r="N11" s="21">
        <v>0</v>
      </c>
      <c r="O11" s="21">
        <v>0</v>
      </c>
      <c r="P11" s="21">
        <v>0</v>
      </c>
    </row>
    <row r="12" spans="1:16" x14ac:dyDescent="0.2">
      <c r="A12" s="57"/>
      <c r="B12" s="1"/>
      <c r="C12" s="33" t="s">
        <v>29</v>
      </c>
      <c r="D12" s="16">
        <v>3</v>
      </c>
      <c r="E12" s="50" t="s">
        <v>11</v>
      </c>
      <c r="F12" s="16">
        <v>2</v>
      </c>
      <c r="G12" s="16">
        <v>0</v>
      </c>
      <c r="H12" s="56">
        <f>G12/F12</f>
        <v>0</v>
      </c>
      <c r="I12" s="16">
        <v>0</v>
      </c>
      <c r="J12" s="36">
        <v>0</v>
      </c>
      <c r="K12" s="36">
        <v>0</v>
      </c>
      <c r="L12" s="1">
        <v>0</v>
      </c>
      <c r="M12" s="21">
        <v>0</v>
      </c>
      <c r="N12" s="21">
        <v>0</v>
      </c>
      <c r="O12" s="21">
        <v>0</v>
      </c>
      <c r="P12" s="21">
        <v>0</v>
      </c>
    </row>
    <row r="13" spans="1:16" x14ac:dyDescent="0.2">
      <c r="A13" s="57"/>
      <c r="B13" s="1"/>
      <c r="C13" s="33" t="s">
        <v>29</v>
      </c>
      <c r="D13" s="16">
        <v>3</v>
      </c>
      <c r="E13" s="50" t="s">
        <v>11</v>
      </c>
      <c r="F13" s="16">
        <v>2</v>
      </c>
      <c r="G13" s="16">
        <v>0</v>
      </c>
      <c r="H13" s="56">
        <f>G13/F13</f>
        <v>0</v>
      </c>
      <c r="I13" s="16">
        <v>0</v>
      </c>
      <c r="J13" s="36">
        <v>0</v>
      </c>
      <c r="K13" s="36">
        <v>0</v>
      </c>
      <c r="L13" s="1">
        <v>0</v>
      </c>
      <c r="M13" s="21">
        <v>0</v>
      </c>
      <c r="N13" s="21">
        <v>0</v>
      </c>
      <c r="O13" s="21">
        <v>0</v>
      </c>
      <c r="P13" s="21">
        <v>0</v>
      </c>
    </row>
    <row r="14" spans="1:16" x14ac:dyDescent="0.2">
      <c r="A14" s="57"/>
      <c r="B14" s="1"/>
      <c r="C14" s="33" t="s">
        <v>29</v>
      </c>
      <c r="D14" s="16">
        <v>3</v>
      </c>
      <c r="E14" s="50" t="s">
        <v>11</v>
      </c>
      <c r="F14" s="16">
        <v>2</v>
      </c>
      <c r="G14" s="16">
        <v>0</v>
      </c>
      <c r="H14" s="56">
        <f t="shared" ref="H14" si="1">G14/F14</f>
        <v>0</v>
      </c>
      <c r="I14" s="16">
        <v>0</v>
      </c>
      <c r="J14" s="36">
        <v>0</v>
      </c>
      <c r="K14" s="36">
        <v>0</v>
      </c>
      <c r="L14" s="1">
        <v>0</v>
      </c>
      <c r="M14" s="21">
        <v>0</v>
      </c>
      <c r="N14" s="21">
        <v>0</v>
      </c>
      <c r="O14" s="21">
        <v>0</v>
      </c>
      <c r="P14" s="21">
        <v>0</v>
      </c>
    </row>
    <row r="15" spans="1:16" x14ac:dyDescent="0.2">
      <c r="A15" s="57"/>
      <c r="B15" s="1"/>
      <c r="C15" s="33" t="s">
        <v>30</v>
      </c>
      <c r="D15" s="16">
        <v>4</v>
      </c>
      <c r="E15" s="50" t="s">
        <v>12</v>
      </c>
      <c r="F15" s="16">
        <v>5</v>
      </c>
      <c r="G15" s="16">
        <v>0</v>
      </c>
      <c r="H15" s="56">
        <f t="shared" si="0"/>
        <v>0</v>
      </c>
      <c r="I15" s="16">
        <v>0</v>
      </c>
      <c r="J15" s="36">
        <v>0</v>
      </c>
      <c r="K15" s="36">
        <v>0</v>
      </c>
      <c r="L15" s="1">
        <v>0</v>
      </c>
      <c r="M15" s="21">
        <v>0</v>
      </c>
      <c r="N15" s="21">
        <v>0</v>
      </c>
      <c r="O15" s="21">
        <v>0</v>
      </c>
      <c r="P15" s="21">
        <v>0</v>
      </c>
    </row>
    <row r="16" spans="1:16" x14ac:dyDescent="0.2">
      <c r="A16" s="57"/>
      <c r="B16" s="1"/>
      <c r="C16" s="33" t="s">
        <v>30</v>
      </c>
      <c r="D16" s="16">
        <v>4</v>
      </c>
      <c r="E16" s="50" t="s">
        <v>12</v>
      </c>
      <c r="F16" s="16">
        <v>5</v>
      </c>
      <c r="G16" s="16">
        <v>0</v>
      </c>
      <c r="H16" s="56">
        <f>G16/F16</f>
        <v>0</v>
      </c>
      <c r="I16" s="16">
        <v>0</v>
      </c>
      <c r="J16" s="36">
        <v>0</v>
      </c>
      <c r="K16" s="36">
        <v>0</v>
      </c>
      <c r="L16" s="1">
        <v>0</v>
      </c>
      <c r="M16" s="21">
        <v>0</v>
      </c>
      <c r="N16" s="21">
        <v>0</v>
      </c>
      <c r="O16" s="21">
        <v>0</v>
      </c>
      <c r="P16" s="21">
        <v>0</v>
      </c>
    </row>
    <row r="17" spans="1:16" x14ac:dyDescent="0.2">
      <c r="A17" s="57"/>
      <c r="B17" s="1"/>
      <c r="C17" s="33" t="s">
        <v>30</v>
      </c>
      <c r="D17" s="16">
        <v>4</v>
      </c>
      <c r="E17" s="50" t="s">
        <v>12</v>
      </c>
      <c r="F17" s="16">
        <v>5</v>
      </c>
      <c r="G17" s="16">
        <v>0</v>
      </c>
      <c r="H17" s="56">
        <f>G17/F17</f>
        <v>0</v>
      </c>
      <c r="I17" s="16">
        <v>0</v>
      </c>
      <c r="J17" s="36">
        <v>0</v>
      </c>
      <c r="K17" s="36">
        <v>0</v>
      </c>
      <c r="L17" s="1">
        <v>0</v>
      </c>
      <c r="M17" s="21">
        <v>0</v>
      </c>
      <c r="N17" s="21">
        <v>0</v>
      </c>
      <c r="O17" s="21">
        <v>0</v>
      </c>
      <c r="P17" s="21">
        <v>0</v>
      </c>
    </row>
    <row r="18" spans="1:16" x14ac:dyDescent="0.2">
      <c r="A18" s="57"/>
      <c r="B18" s="1"/>
      <c r="C18" s="33" t="s">
        <v>30</v>
      </c>
      <c r="D18" s="16">
        <v>4</v>
      </c>
      <c r="E18" s="50" t="s">
        <v>12</v>
      </c>
      <c r="F18" s="16">
        <v>5</v>
      </c>
      <c r="G18" s="16">
        <v>0</v>
      </c>
      <c r="H18" s="56">
        <f t="shared" ref="H18" si="2">G18/F18</f>
        <v>0</v>
      </c>
      <c r="I18" s="16">
        <v>0</v>
      </c>
      <c r="J18" s="36">
        <v>0</v>
      </c>
      <c r="K18" s="36">
        <v>0</v>
      </c>
      <c r="L18" s="1">
        <v>0</v>
      </c>
      <c r="M18" s="21">
        <v>0</v>
      </c>
      <c r="N18" s="21">
        <v>0</v>
      </c>
      <c r="O18" s="21">
        <v>0</v>
      </c>
      <c r="P18" s="21">
        <v>0</v>
      </c>
    </row>
    <row r="19" spans="1:16" x14ac:dyDescent="0.2">
      <c r="A19" s="57">
        <v>45098</v>
      </c>
      <c r="B19" s="16" t="s">
        <v>127</v>
      </c>
      <c r="C19" s="33" t="s">
        <v>31</v>
      </c>
      <c r="D19" s="16">
        <v>5</v>
      </c>
      <c r="E19" s="50" t="s">
        <v>159</v>
      </c>
      <c r="F19" s="16">
        <v>2</v>
      </c>
      <c r="G19" s="16">
        <v>0</v>
      </c>
      <c r="H19" s="56">
        <f t="shared" si="0"/>
        <v>0</v>
      </c>
      <c r="I19" s="16">
        <v>0</v>
      </c>
      <c r="J19" s="36">
        <v>0</v>
      </c>
      <c r="K19" s="36">
        <v>0</v>
      </c>
      <c r="L19" s="1">
        <v>0</v>
      </c>
      <c r="M19" s="21">
        <v>0</v>
      </c>
      <c r="N19" s="21">
        <v>0</v>
      </c>
      <c r="O19" s="21">
        <v>0</v>
      </c>
      <c r="P19" s="21">
        <v>0</v>
      </c>
    </row>
    <row r="20" spans="1:16" x14ac:dyDescent="0.2">
      <c r="A20" s="57">
        <v>45104</v>
      </c>
      <c r="B20" s="16" t="s">
        <v>127</v>
      </c>
      <c r="C20" s="33" t="s">
        <v>31</v>
      </c>
      <c r="D20" s="16">
        <v>5</v>
      </c>
      <c r="E20" s="50" t="s">
        <v>159</v>
      </c>
      <c r="F20" s="16">
        <v>2</v>
      </c>
      <c r="G20" s="16">
        <v>0</v>
      </c>
      <c r="H20" s="56">
        <f t="shared" si="0"/>
        <v>0</v>
      </c>
      <c r="I20" s="16">
        <v>0</v>
      </c>
      <c r="J20" s="36">
        <v>0</v>
      </c>
      <c r="K20" s="36">
        <v>0</v>
      </c>
      <c r="L20" s="1">
        <v>0</v>
      </c>
      <c r="M20" s="21">
        <v>0</v>
      </c>
      <c r="N20" s="21">
        <v>0</v>
      </c>
      <c r="O20" s="21">
        <v>0</v>
      </c>
      <c r="P20" s="21">
        <v>0</v>
      </c>
    </row>
    <row r="21" spans="1:16" x14ac:dyDescent="0.2">
      <c r="A21" s="57"/>
      <c r="B21" s="1"/>
      <c r="C21" s="33" t="s">
        <v>31</v>
      </c>
      <c r="D21" s="16">
        <v>5</v>
      </c>
      <c r="E21" s="50" t="s">
        <v>159</v>
      </c>
      <c r="F21" s="16">
        <v>2</v>
      </c>
      <c r="G21" s="16">
        <v>0</v>
      </c>
      <c r="H21" s="56">
        <f>G21/F21</f>
        <v>0</v>
      </c>
      <c r="I21" s="16">
        <v>0</v>
      </c>
      <c r="J21" s="36">
        <v>0</v>
      </c>
      <c r="K21" s="36">
        <v>0</v>
      </c>
      <c r="L21" s="1">
        <v>0</v>
      </c>
      <c r="M21" s="21">
        <v>0</v>
      </c>
      <c r="N21" s="21">
        <v>0</v>
      </c>
      <c r="O21" s="21">
        <v>0</v>
      </c>
      <c r="P21" s="21">
        <v>0</v>
      </c>
    </row>
    <row r="22" spans="1:16" x14ac:dyDescent="0.2">
      <c r="A22" s="57"/>
      <c r="B22" s="1"/>
      <c r="C22" s="33" t="s">
        <v>31</v>
      </c>
      <c r="D22" s="16">
        <v>5</v>
      </c>
      <c r="E22" s="50" t="s">
        <v>159</v>
      </c>
      <c r="F22" s="16">
        <v>2</v>
      </c>
      <c r="G22" s="16">
        <v>0</v>
      </c>
      <c r="H22" s="56">
        <f t="shared" si="0"/>
        <v>0</v>
      </c>
      <c r="I22" s="16">
        <v>0</v>
      </c>
      <c r="J22" s="36">
        <v>0</v>
      </c>
      <c r="K22" s="36">
        <v>0</v>
      </c>
      <c r="L22" s="1">
        <v>0</v>
      </c>
      <c r="M22" s="21">
        <v>0</v>
      </c>
      <c r="N22" s="21">
        <v>0</v>
      </c>
      <c r="O22" s="21">
        <v>0</v>
      </c>
      <c r="P22" s="21">
        <v>0</v>
      </c>
    </row>
    <row r="23" spans="1:16" x14ac:dyDescent="0.2">
      <c r="A23" s="57"/>
      <c r="B23" s="1"/>
      <c r="C23" s="33" t="s">
        <v>31</v>
      </c>
      <c r="D23" s="16">
        <v>5</v>
      </c>
      <c r="E23" s="50" t="s">
        <v>159</v>
      </c>
      <c r="F23" s="16">
        <v>2</v>
      </c>
      <c r="G23" s="16">
        <v>0</v>
      </c>
      <c r="H23" s="56">
        <f>G23/F23</f>
        <v>0</v>
      </c>
      <c r="I23" s="16">
        <v>0</v>
      </c>
      <c r="J23" s="36">
        <v>0</v>
      </c>
      <c r="K23" s="36">
        <v>0</v>
      </c>
      <c r="L23" s="1">
        <v>0</v>
      </c>
      <c r="M23" s="21">
        <v>0</v>
      </c>
      <c r="N23" s="21">
        <v>0</v>
      </c>
      <c r="O23" s="21">
        <v>0</v>
      </c>
      <c r="P23" s="21">
        <v>0</v>
      </c>
    </row>
    <row r="24" spans="1:16" x14ac:dyDescent="0.2">
      <c r="A24" s="57">
        <v>45098</v>
      </c>
      <c r="B24" s="16" t="s">
        <v>127</v>
      </c>
      <c r="C24" s="33" t="s">
        <v>32</v>
      </c>
      <c r="D24" s="16">
        <v>6</v>
      </c>
      <c r="E24" s="50" t="s">
        <v>14</v>
      </c>
      <c r="F24" s="16">
        <v>4</v>
      </c>
      <c r="G24" s="16">
        <v>0</v>
      </c>
      <c r="H24" s="56">
        <f t="shared" si="0"/>
        <v>0</v>
      </c>
      <c r="I24" s="16">
        <v>0</v>
      </c>
      <c r="J24" s="36">
        <v>0</v>
      </c>
      <c r="K24" s="36">
        <v>0</v>
      </c>
      <c r="L24" s="1">
        <v>0</v>
      </c>
      <c r="M24" s="21">
        <v>0</v>
      </c>
      <c r="N24" s="21">
        <v>0</v>
      </c>
      <c r="O24" s="21">
        <v>0</v>
      </c>
      <c r="P24" s="21">
        <v>0</v>
      </c>
    </row>
    <row r="25" spans="1:16" x14ac:dyDescent="0.2">
      <c r="A25" s="57">
        <v>45104</v>
      </c>
      <c r="B25" s="16" t="s">
        <v>127</v>
      </c>
      <c r="C25" s="33" t="s">
        <v>32</v>
      </c>
      <c r="D25" s="16">
        <v>6</v>
      </c>
      <c r="E25" s="50" t="s">
        <v>14</v>
      </c>
      <c r="F25" s="16">
        <v>4</v>
      </c>
      <c r="G25" s="16">
        <v>0</v>
      </c>
      <c r="H25" s="56">
        <f t="shared" si="0"/>
        <v>0</v>
      </c>
      <c r="I25" s="16">
        <v>0</v>
      </c>
      <c r="J25" s="36">
        <v>0</v>
      </c>
      <c r="K25" s="36">
        <v>0</v>
      </c>
      <c r="L25" s="1">
        <v>0</v>
      </c>
      <c r="M25" s="21">
        <v>0</v>
      </c>
      <c r="N25" s="21">
        <v>0</v>
      </c>
      <c r="O25" s="21">
        <v>0</v>
      </c>
      <c r="P25" s="21">
        <v>0</v>
      </c>
    </row>
    <row r="26" spans="1:16" x14ac:dyDescent="0.2">
      <c r="A26" s="57"/>
      <c r="B26" s="1"/>
      <c r="C26" s="33" t="s">
        <v>32</v>
      </c>
      <c r="D26" s="16">
        <v>6</v>
      </c>
      <c r="E26" s="50" t="s">
        <v>14</v>
      </c>
      <c r="F26" s="16">
        <v>4</v>
      </c>
      <c r="G26" s="16">
        <v>0</v>
      </c>
      <c r="H26" s="56">
        <f>G26/F26</f>
        <v>0</v>
      </c>
      <c r="I26" s="16">
        <v>0</v>
      </c>
      <c r="J26" s="36">
        <v>0</v>
      </c>
      <c r="K26" s="36">
        <v>0</v>
      </c>
      <c r="L26" s="1">
        <v>0</v>
      </c>
      <c r="M26" s="21">
        <v>0</v>
      </c>
      <c r="N26" s="21">
        <v>0</v>
      </c>
      <c r="O26" s="21">
        <v>0</v>
      </c>
      <c r="P26" s="21">
        <v>0</v>
      </c>
    </row>
    <row r="27" spans="1:16" x14ac:dyDescent="0.2">
      <c r="A27" s="57"/>
      <c r="B27" s="1"/>
      <c r="C27" s="33" t="s">
        <v>32</v>
      </c>
      <c r="D27" s="16">
        <v>6</v>
      </c>
      <c r="E27" s="50" t="s">
        <v>14</v>
      </c>
      <c r="F27" s="16">
        <v>4</v>
      </c>
      <c r="G27" s="16">
        <v>0</v>
      </c>
      <c r="H27" s="56">
        <f t="shared" si="0"/>
        <v>0</v>
      </c>
      <c r="I27" s="16">
        <v>0</v>
      </c>
      <c r="J27" s="36">
        <v>0</v>
      </c>
      <c r="K27" s="36">
        <v>0</v>
      </c>
      <c r="L27" s="1">
        <v>0</v>
      </c>
      <c r="M27" s="21">
        <v>0</v>
      </c>
      <c r="N27" s="21">
        <v>0</v>
      </c>
      <c r="O27" s="21">
        <v>0</v>
      </c>
      <c r="P27" s="21">
        <v>0</v>
      </c>
    </row>
    <row r="28" spans="1:16" x14ac:dyDescent="0.2">
      <c r="A28" s="57"/>
      <c r="B28" s="1"/>
      <c r="C28" s="33" t="s">
        <v>32</v>
      </c>
      <c r="D28" s="16">
        <v>6</v>
      </c>
      <c r="E28" s="50" t="s">
        <v>14</v>
      </c>
      <c r="F28" s="16">
        <v>4</v>
      </c>
      <c r="G28" s="16">
        <v>0</v>
      </c>
      <c r="H28" s="56">
        <f>G28/F28</f>
        <v>0</v>
      </c>
      <c r="I28" s="16">
        <v>0</v>
      </c>
      <c r="J28" s="36">
        <v>0</v>
      </c>
      <c r="K28" s="36">
        <v>0</v>
      </c>
      <c r="L28" s="1">
        <v>0</v>
      </c>
      <c r="M28" s="21">
        <v>0</v>
      </c>
      <c r="N28" s="21">
        <v>0</v>
      </c>
      <c r="O28" s="21">
        <v>0</v>
      </c>
      <c r="P28" s="21">
        <v>0</v>
      </c>
    </row>
    <row r="29" spans="1:16" x14ac:dyDescent="0.2">
      <c r="A29" s="57">
        <v>45091</v>
      </c>
      <c r="B29" s="16" t="s">
        <v>127</v>
      </c>
      <c r="C29" s="33" t="s">
        <v>33</v>
      </c>
      <c r="D29" s="16">
        <v>7</v>
      </c>
      <c r="E29" s="50" t="s">
        <v>15</v>
      </c>
      <c r="F29" s="16">
        <v>3</v>
      </c>
      <c r="G29" s="33">
        <v>0</v>
      </c>
      <c r="H29" s="51">
        <f t="shared" si="0"/>
        <v>0</v>
      </c>
      <c r="I29" s="16">
        <v>0</v>
      </c>
      <c r="J29" s="36">
        <v>0</v>
      </c>
      <c r="K29" s="36">
        <v>0</v>
      </c>
      <c r="L29" s="1">
        <v>0</v>
      </c>
      <c r="M29" s="21">
        <v>0</v>
      </c>
      <c r="N29" s="21">
        <v>0</v>
      </c>
      <c r="O29" s="21">
        <v>0</v>
      </c>
      <c r="P29" s="21">
        <v>0</v>
      </c>
    </row>
    <row r="30" spans="1:16" x14ac:dyDescent="0.2">
      <c r="A30" s="57">
        <v>45113</v>
      </c>
      <c r="B30" s="16" t="s">
        <v>127</v>
      </c>
      <c r="C30" s="33" t="s">
        <v>33</v>
      </c>
      <c r="D30" s="16">
        <v>7</v>
      </c>
      <c r="E30" s="50" t="s">
        <v>15</v>
      </c>
      <c r="F30" s="16">
        <v>3</v>
      </c>
      <c r="G30" s="33">
        <v>0</v>
      </c>
      <c r="H30" s="51">
        <f t="shared" si="0"/>
        <v>0</v>
      </c>
      <c r="I30" s="16">
        <v>0</v>
      </c>
      <c r="J30" s="36">
        <v>0</v>
      </c>
      <c r="K30" s="36">
        <v>0</v>
      </c>
      <c r="L30" s="1">
        <v>0</v>
      </c>
      <c r="M30" s="21">
        <v>0</v>
      </c>
      <c r="N30" s="21">
        <v>0</v>
      </c>
      <c r="O30" s="21">
        <v>0</v>
      </c>
      <c r="P30" s="21">
        <v>0</v>
      </c>
    </row>
    <row r="31" spans="1:16" x14ac:dyDescent="0.2">
      <c r="A31" s="57"/>
      <c r="B31" s="1"/>
      <c r="C31" s="33" t="s">
        <v>33</v>
      </c>
      <c r="D31" s="16">
        <v>7</v>
      </c>
      <c r="E31" s="50" t="s">
        <v>15</v>
      </c>
      <c r="F31" s="16">
        <v>3</v>
      </c>
      <c r="G31" s="33">
        <v>0</v>
      </c>
      <c r="H31" s="51">
        <f t="shared" si="0"/>
        <v>0</v>
      </c>
      <c r="I31" s="16">
        <v>0</v>
      </c>
      <c r="J31" s="36">
        <v>0</v>
      </c>
      <c r="K31" s="36">
        <v>0</v>
      </c>
      <c r="L31" s="1">
        <v>0</v>
      </c>
      <c r="M31" s="21">
        <v>0</v>
      </c>
      <c r="N31" s="21">
        <v>0</v>
      </c>
      <c r="O31" s="21">
        <v>0</v>
      </c>
      <c r="P31" s="21">
        <v>0</v>
      </c>
    </row>
    <row r="32" spans="1:16" x14ac:dyDescent="0.2">
      <c r="A32" s="57"/>
      <c r="B32" s="1"/>
      <c r="C32" s="33" t="s">
        <v>33</v>
      </c>
      <c r="D32" s="16">
        <v>7</v>
      </c>
      <c r="E32" s="50" t="s">
        <v>15</v>
      </c>
      <c r="F32" s="16">
        <v>3</v>
      </c>
      <c r="G32" s="33">
        <v>0</v>
      </c>
      <c r="H32" s="51">
        <f t="shared" si="0"/>
        <v>0</v>
      </c>
      <c r="I32" s="16">
        <v>0</v>
      </c>
      <c r="J32" s="36">
        <v>0</v>
      </c>
      <c r="K32" s="36">
        <v>0</v>
      </c>
      <c r="L32" s="1">
        <v>0</v>
      </c>
      <c r="M32" s="21">
        <v>0</v>
      </c>
      <c r="N32" s="21">
        <v>0</v>
      </c>
      <c r="O32" s="21">
        <v>0</v>
      </c>
      <c r="P32" s="21">
        <v>0</v>
      </c>
    </row>
    <row r="33" spans="1:16" x14ac:dyDescent="0.2">
      <c r="A33" s="57"/>
      <c r="B33" s="1"/>
      <c r="C33" s="33" t="s">
        <v>33</v>
      </c>
      <c r="D33" s="16">
        <v>7</v>
      </c>
      <c r="E33" s="50" t="s">
        <v>15</v>
      </c>
      <c r="F33" s="16">
        <v>3</v>
      </c>
      <c r="G33" s="33">
        <v>0</v>
      </c>
      <c r="H33" s="51">
        <f t="shared" si="0"/>
        <v>0</v>
      </c>
      <c r="I33" s="16">
        <v>0</v>
      </c>
      <c r="J33" s="36">
        <v>0</v>
      </c>
      <c r="K33" s="36">
        <v>0</v>
      </c>
      <c r="L33" s="1">
        <v>0</v>
      </c>
      <c r="M33" s="21">
        <v>0</v>
      </c>
      <c r="N33" s="21">
        <v>0</v>
      </c>
      <c r="O33" s="21">
        <v>0</v>
      </c>
      <c r="P33" s="21">
        <v>0</v>
      </c>
    </row>
    <row r="34" spans="1:16" x14ac:dyDescent="0.2">
      <c r="A34" s="57"/>
      <c r="B34" s="1"/>
      <c r="C34" s="33" t="s">
        <v>33</v>
      </c>
      <c r="D34" s="16">
        <v>7</v>
      </c>
      <c r="E34" s="50" t="s">
        <v>15</v>
      </c>
      <c r="F34" s="16">
        <v>3</v>
      </c>
      <c r="G34" s="33">
        <v>0</v>
      </c>
      <c r="H34" s="51">
        <f t="shared" si="0"/>
        <v>0</v>
      </c>
      <c r="I34" s="16">
        <v>0</v>
      </c>
      <c r="J34" s="36">
        <v>0</v>
      </c>
      <c r="K34" s="36">
        <v>0</v>
      </c>
      <c r="L34" s="1">
        <v>0</v>
      </c>
      <c r="M34" s="21">
        <v>0</v>
      </c>
      <c r="N34" s="21">
        <v>0</v>
      </c>
      <c r="O34" s="21">
        <v>0</v>
      </c>
      <c r="P34" s="21">
        <v>0</v>
      </c>
    </row>
    <row r="35" spans="1:16" x14ac:dyDescent="0.2">
      <c r="A35" s="57"/>
      <c r="B35" s="1"/>
      <c r="C35" s="33" t="s">
        <v>33</v>
      </c>
      <c r="D35" s="16">
        <v>7</v>
      </c>
      <c r="E35" s="50" t="s">
        <v>15</v>
      </c>
      <c r="F35" s="16">
        <v>3</v>
      </c>
      <c r="G35" s="33">
        <v>0</v>
      </c>
      <c r="H35" s="51">
        <f t="shared" si="0"/>
        <v>0</v>
      </c>
      <c r="I35" s="16">
        <v>0</v>
      </c>
      <c r="J35" s="36">
        <v>0</v>
      </c>
      <c r="K35" s="36">
        <v>0</v>
      </c>
      <c r="L35" s="1">
        <v>0</v>
      </c>
      <c r="M35" s="21">
        <v>0</v>
      </c>
      <c r="N35" s="21">
        <v>0</v>
      </c>
      <c r="O35" s="21">
        <v>0</v>
      </c>
      <c r="P35" s="21">
        <v>0</v>
      </c>
    </row>
    <row r="36" spans="1:16" x14ac:dyDescent="0.2">
      <c r="A36" s="42">
        <v>45085</v>
      </c>
      <c r="B36" s="16" t="s">
        <v>127</v>
      </c>
      <c r="C36" s="33" t="s">
        <v>34</v>
      </c>
      <c r="D36" s="16">
        <v>8</v>
      </c>
      <c r="E36" s="50" t="s">
        <v>16</v>
      </c>
      <c r="F36" s="33">
        <v>3</v>
      </c>
      <c r="G36" s="33">
        <v>0</v>
      </c>
      <c r="H36" s="51">
        <f t="shared" si="0"/>
        <v>0</v>
      </c>
      <c r="I36" s="40">
        <v>0</v>
      </c>
      <c r="J36" s="36">
        <v>0</v>
      </c>
      <c r="K36" s="36">
        <v>0</v>
      </c>
      <c r="L36" s="1">
        <v>0</v>
      </c>
      <c r="M36" s="21">
        <v>0</v>
      </c>
      <c r="N36" s="21">
        <v>0</v>
      </c>
      <c r="O36" s="21">
        <v>0</v>
      </c>
      <c r="P36" s="21">
        <v>0</v>
      </c>
    </row>
    <row r="37" spans="1:16" x14ac:dyDescent="0.2">
      <c r="A37" s="42">
        <v>45091</v>
      </c>
      <c r="B37" s="16" t="s">
        <v>127</v>
      </c>
      <c r="C37" s="33" t="s">
        <v>34</v>
      </c>
      <c r="D37" s="16">
        <v>8</v>
      </c>
      <c r="E37" s="50" t="s">
        <v>16</v>
      </c>
      <c r="F37" s="33">
        <v>3</v>
      </c>
      <c r="G37" s="33">
        <v>0</v>
      </c>
      <c r="H37" s="51">
        <f t="shared" si="0"/>
        <v>0</v>
      </c>
      <c r="I37" s="40">
        <v>1</v>
      </c>
      <c r="J37" s="36">
        <v>0</v>
      </c>
      <c r="K37" s="36">
        <v>0</v>
      </c>
      <c r="L37" s="1">
        <v>0</v>
      </c>
      <c r="M37" s="21">
        <v>0</v>
      </c>
      <c r="N37" s="21">
        <v>0</v>
      </c>
      <c r="O37" s="21">
        <v>0</v>
      </c>
      <c r="P37" s="21">
        <v>0</v>
      </c>
    </row>
    <row r="38" spans="1:16" x14ac:dyDescent="0.2">
      <c r="A38" s="42">
        <v>45099</v>
      </c>
      <c r="B38" s="16" t="s">
        <v>127</v>
      </c>
      <c r="C38" s="33" t="s">
        <v>34</v>
      </c>
      <c r="D38" s="16">
        <v>8</v>
      </c>
      <c r="E38" s="50" t="s">
        <v>16</v>
      </c>
      <c r="F38" s="33">
        <v>3</v>
      </c>
      <c r="G38" s="33">
        <v>0</v>
      </c>
      <c r="H38" s="51">
        <f t="shared" si="0"/>
        <v>0</v>
      </c>
      <c r="I38" s="40">
        <v>0</v>
      </c>
      <c r="J38" s="36">
        <v>0</v>
      </c>
      <c r="K38" s="36">
        <v>0</v>
      </c>
      <c r="L38" s="1">
        <v>0</v>
      </c>
      <c r="M38" s="21">
        <v>0</v>
      </c>
      <c r="N38" s="21">
        <v>0</v>
      </c>
      <c r="O38" s="21">
        <v>0</v>
      </c>
      <c r="P38" s="21">
        <v>0</v>
      </c>
    </row>
    <row r="39" spans="1:16" x14ac:dyDescent="0.2">
      <c r="A39" s="42">
        <v>45105</v>
      </c>
      <c r="B39" s="16" t="s">
        <v>127</v>
      </c>
      <c r="C39" s="33" t="s">
        <v>34</v>
      </c>
      <c r="D39" s="16">
        <v>8</v>
      </c>
      <c r="E39" s="50" t="s">
        <v>16</v>
      </c>
      <c r="F39" s="33">
        <v>3</v>
      </c>
      <c r="G39" s="33">
        <v>0</v>
      </c>
      <c r="H39" s="51">
        <f t="shared" si="0"/>
        <v>0</v>
      </c>
      <c r="I39" s="40">
        <v>0</v>
      </c>
      <c r="J39" s="36">
        <v>0</v>
      </c>
      <c r="K39" s="36">
        <v>0</v>
      </c>
      <c r="L39" s="1">
        <v>0</v>
      </c>
      <c r="M39" s="21">
        <v>0</v>
      </c>
      <c r="N39" s="21">
        <v>0</v>
      </c>
      <c r="O39" s="21">
        <v>0</v>
      </c>
      <c r="P39" s="21">
        <v>0</v>
      </c>
    </row>
    <row r="40" spans="1:16" x14ac:dyDescent="0.2">
      <c r="A40" s="42">
        <v>45113</v>
      </c>
      <c r="B40" s="16" t="s">
        <v>127</v>
      </c>
      <c r="C40" s="33" t="s">
        <v>34</v>
      </c>
      <c r="D40" s="16">
        <v>8</v>
      </c>
      <c r="E40" s="50" t="s">
        <v>16</v>
      </c>
      <c r="F40" s="33">
        <v>3</v>
      </c>
      <c r="G40" s="33">
        <v>0</v>
      </c>
      <c r="H40" s="51">
        <f t="shared" si="0"/>
        <v>0</v>
      </c>
      <c r="I40" s="40">
        <v>1</v>
      </c>
      <c r="J40" s="36">
        <v>0</v>
      </c>
      <c r="K40" s="36">
        <v>0</v>
      </c>
      <c r="L40" s="1">
        <v>0</v>
      </c>
      <c r="M40" s="21">
        <v>0</v>
      </c>
      <c r="N40" s="21">
        <v>0</v>
      </c>
      <c r="O40" s="21">
        <v>0</v>
      </c>
      <c r="P40" s="21">
        <v>0</v>
      </c>
    </row>
    <row r="41" spans="1:16" x14ac:dyDescent="0.2">
      <c r="A41" s="42">
        <v>45121</v>
      </c>
      <c r="B41" s="1" t="s">
        <v>127</v>
      </c>
      <c r="C41" s="33" t="s">
        <v>34</v>
      </c>
      <c r="D41" s="16">
        <v>8</v>
      </c>
      <c r="E41" s="50" t="s">
        <v>16</v>
      </c>
      <c r="F41" s="33">
        <v>3</v>
      </c>
      <c r="G41" s="33">
        <v>0</v>
      </c>
      <c r="H41" s="51">
        <f t="shared" si="0"/>
        <v>0</v>
      </c>
      <c r="I41" s="40">
        <v>0</v>
      </c>
      <c r="J41" s="36">
        <v>0</v>
      </c>
      <c r="K41" s="36">
        <v>0</v>
      </c>
      <c r="L41" s="1">
        <v>0</v>
      </c>
      <c r="M41" s="21">
        <v>0</v>
      </c>
      <c r="N41" s="21">
        <v>0</v>
      </c>
      <c r="O41" s="21">
        <v>0</v>
      </c>
      <c r="P41" s="21">
        <v>0</v>
      </c>
    </row>
    <row r="42" spans="1:16" x14ac:dyDescent="0.2">
      <c r="A42" s="42"/>
      <c r="B42" s="1"/>
      <c r="C42" s="33" t="s">
        <v>34</v>
      </c>
      <c r="D42" s="16">
        <v>8</v>
      </c>
      <c r="E42" s="50" t="s">
        <v>16</v>
      </c>
      <c r="F42" s="33">
        <v>3</v>
      </c>
      <c r="G42" s="33">
        <v>0</v>
      </c>
      <c r="H42" s="51">
        <f t="shared" si="0"/>
        <v>0</v>
      </c>
      <c r="I42" s="40">
        <v>0</v>
      </c>
      <c r="J42" s="36">
        <v>0</v>
      </c>
      <c r="K42" s="36">
        <v>0</v>
      </c>
      <c r="L42" s="1">
        <v>0</v>
      </c>
      <c r="M42" s="21">
        <v>0</v>
      </c>
      <c r="N42" s="21">
        <v>0</v>
      </c>
      <c r="O42" s="21">
        <v>0</v>
      </c>
      <c r="P42" s="21">
        <v>0</v>
      </c>
    </row>
    <row r="43" spans="1:16" x14ac:dyDescent="0.2">
      <c r="A43" s="42"/>
      <c r="B43" s="1"/>
      <c r="C43" s="33" t="s">
        <v>34</v>
      </c>
      <c r="D43" s="16">
        <v>8</v>
      </c>
      <c r="E43" s="50" t="s">
        <v>16</v>
      </c>
      <c r="F43" s="33">
        <v>3</v>
      </c>
      <c r="G43" s="33">
        <v>0</v>
      </c>
      <c r="H43" s="51">
        <f t="shared" si="0"/>
        <v>0</v>
      </c>
      <c r="I43" s="40">
        <v>0</v>
      </c>
      <c r="J43" s="36">
        <v>0</v>
      </c>
      <c r="K43" s="36">
        <v>0</v>
      </c>
      <c r="L43" s="1">
        <v>0</v>
      </c>
      <c r="M43" s="21">
        <v>0</v>
      </c>
      <c r="N43" s="21">
        <v>0</v>
      </c>
      <c r="O43" s="21">
        <v>0</v>
      </c>
      <c r="P43" s="21">
        <v>0</v>
      </c>
    </row>
    <row r="44" spans="1:16" x14ac:dyDescent="0.2">
      <c r="A44" s="42"/>
      <c r="B44" s="1"/>
      <c r="C44" s="33" t="s">
        <v>34</v>
      </c>
      <c r="D44" s="16">
        <v>8</v>
      </c>
      <c r="E44" s="50" t="s">
        <v>16</v>
      </c>
      <c r="F44" s="33">
        <v>3</v>
      </c>
      <c r="G44" s="33">
        <v>0</v>
      </c>
      <c r="H44" s="51">
        <f t="shared" si="0"/>
        <v>0</v>
      </c>
      <c r="I44" s="40">
        <v>0</v>
      </c>
      <c r="J44" s="36">
        <v>0</v>
      </c>
      <c r="K44" s="36">
        <v>0</v>
      </c>
      <c r="L44" s="1">
        <v>0</v>
      </c>
      <c r="M44" s="21">
        <v>0</v>
      </c>
      <c r="N44" s="21">
        <v>0</v>
      </c>
      <c r="O44" s="21">
        <v>0</v>
      </c>
      <c r="P44" s="21">
        <v>0</v>
      </c>
    </row>
    <row r="45" spans="1:16" x14ac:dyDescent="0.2">
      <c r="A45" s="42">
        <v>45091</v>
      </c>
      <c r="B45" s="16" t="s">
        <v>127</v>
      </c>
      <c r="C45" s="33" t="s">
        <v>35</v>
      </c>
      <c r="D45" s="16">
        <v>9</v>
      </c>
      <c r="E45" s="50" t="s">
        <v>17</v>
      </c>
      <c r="F45" s="16">
        <v>4</v>
      </c>
      <c r="G45" s="33">
        <v>0</v>
      </c>
      <c r="H45" s="51">
        <f t="shared" si="0"/>
        <v>0</v>
      </c>
      <c r="I45" s="40">
        <v>0</v>
      </c>
      <c r="J45" s="36">
        <v>0</v>
      </c>
      <c r="K45" s="36">
        <v>0</v>
      </c>
      <c r="L45" s="1">
        <v>0</v>
      </c>
      <c r="M45" s="21">
        <v>0</v>
      </c>
      <c r="N45" s="21">
        <v>0</v>
      </c>
      <c r="O45" s="21">
        <v>0</v>
      </c>
      <c r="P45" s="21">
        <v>0</v>
      </c>
    </row>
    <row r="46" spans="1:16" x14ac:dyDescent="0.2">
      <c r="A46" s="42">
        <v>45113</v>
      </c>
      <c r="B46" s="16" t="s">
        <v>127</v>
      </c>
      <c r="C46" s="33" t="s">
        <v>35</v>
      </c>
      <c r="D46" s="16">
        <v>9</v>
      </c>
      <c r="E46" s="50" t="s">
        <v>17</v>
      </c>
      <c r="F46" s="16">
        <v>4</v>
      </c>
      <c r="G46" s="33">
        <v>0</v>
      </c>
      <c r="H46" s="51">
        <f t="shared" si="0"/>
        <v>0</v>
      </c>
      <c r="I46" s="40">
        <v>0</v>
      </c>
      <c r="J46" s="36">
        <v>0</v>
      </c>
      <c r="K46" s="36">
        <v>0</v>
      </c>
      <c r="L46" s="1">
        <v>0</v>
      </c>
      <c r="M46" s="21">
        <v>0</v>
      </c>
      <c r="N46" s="21">
        <v>0</v>
      </c>
      <c r="O46" s="21">
        <v>0</v>
      </c>
      <c r="P46" s="21">
        <v>0</v>
      </c>
    </row>
    <row r="47" spans="1:16" x14ac:dyDescent="0.2">
      <c r="A47" s="42"/>
      <c r="B47" s="1"/>
      <c r="C47" s="33" t="s">
        <v>35</v>
      </c>
      <c r="D47" s="16">
        <v>9</v>
      </c>
      <c r="E47" s="50" t="s">
        <v>17</v>
      </c>
      <c r="F47" s="16">
        <v>4</v>
      </c>
      <c r="G47" s="33">
        <v>0</v>
      </c>
      <c r="H47" s="51">
        <f t="shared" si="0"/>
        <v>0</v>
      </c>
      <c r="I47" s="40">
        <v>0</v>
      </c>
      <c r="J47" s="36">
        <v>0</v>
      </c>
      <c r="K47" s="36">
        <v>0</v>
      </c>
      <c r="L47" s="1">
        <v>0</v>
      </c>
      <c r="M47" s="21">
        <v>0</v>
      </c>
      <c r="N47" s="21">
        <v>0</v>
      </c>
      <c r="O47" s="21">
        <v>0</v>
      </c>
      <c r="P47" s="21">
        <v>0</v>
      </c>
    </row>
    <row r="48" spans="1:16" x14ac:dyDescent="0.2">
      <c r="A48" s="42"/>
      <c r="B48" s="1"/>
      <c r="C48" s="33" t="s">
        <v>35</v>
      </c>
      <c r="D48" s="16">
        <v>9</v>
      </c>
      <c r="E48" s="50" t="s">
        <v>17</v>
      </c>
      <c r="F48" s="16">
        <v>4</v>
      </c>
      <c r="G48" s="33">
        <v>0</v>
      </c>
      <c r="H48" s="51">
        <f t="shared" si="0"/>
        <v>0</v>
      </c>
      <c r="I48" s="40">
        <v>0</v>
      </c>
      <c r="J48" s="36">
        <v>0</v>
      </c>
      <c r="K48" s="36">
        <v>0</v>
      </c>
      <c r="L48" s="1">
        <v>0</v>
      </c>
      <c r="M48" s="21">
        <v>0</v>
      </c>
      <c r="N48" s="21">
        <v>0</v>
      </c>
      <c r="O48" s="21">
        <v>0</v>
      </c>
      <c r="P48" s="21">
        <v>0</v>
      </c>
    </row>
    <row r="49" spans="1:17" x14ac:dyDescent="0.2">
      <c r="A49" s="42"/>
      <c r="B49" s="1"/>
      <c r="C49" s="33" t="s">
        <v>35</v>
      </c>
      <c r="D49" s="16">
        <v>9</v>
      </c>
      <c r="E49" s="50" t="s">
        <v>17</v>
      </c>
      <c r="F49" s="16">
        <v>4</v>
      </c>
      <c r="G49" s="33">
        <v>0</v>
      </c>
      <c r="H49" s="51">
        <f t="shared" si="0"/>
        <v>0</v>
      </c>
      <c r="I49" s="40">
        <v>0</v>
      </c>
      <c r="J49" s="36">
        <v>0</v>
      </c>
      <c r="K49" s="36">
        <v>0</v>
      </c>
      <c r="L49" s="1">
        <v>0</v>
      </c>
      <c r="M49" s="21">
        <v>0</v>
      </c>
      <c r="N49" s="21">
        <v>0</v>
      </c>
      <c r="O49" s="21">
        <v>0</v>
      </c>
      <c r="P49" s="21">
        <v>0</v>
      </c>
    </row>
    <row r="50" spans="1:17" x14ac:dyDescent="0.2">
      <c r="A50" s="42"/>
      <c r="B50" s="1"/>
      <c r="C50" s="33" t="s">
        <v>35</v>
      </c>
      <c r="D50" s="16">
        <v>9</v>
      </c>
      <c r="E50" s="50" t="s">
        <v>17</v>
      </c>
      <c r="F50" s="16">
        <v>4</v>
      </c>
      <c r="G50" s="33">
        <v>0</v>
      </c>
      <c r="H50" s="51">
        <f t="shared" si="0"/>
        <v>0</v>
      </c>
      <c r="I50" s="40">
        <v>0</v>
      </c>
      <c r="J50" s="36">
        <v>0</v>
      </c>
      <c r="K50" s="36">
        <v>0</v>
      </c>
      <c r="L50" s="1">
        <v>0</v>
      </c>
      <c r="M50" s="21">
        <v>0</v>
      </c>
      <c r="N50" s="21">
        <v>0</v>
      </c>
      <c r="O50" s="21">
        <v>0</v>
      </c>
      <c r="P50" s="21">
        <v>0</v>
      </c>
    </row>
    <row r="51" spans="1:17" x14ac:dyDescent="0.2">
      <c r="A51" s="42"/>
      <c r="B51" s="1"/>
      <c r="C51" s="33" t="s">
        <v>35</v>
      </c>
      <c r="D51" s="16">
        <v>9</v>
      </c>
      <c r="E51" s="50" t="s">
        <v>17</v>
      </c>
      <c r="F51" s="16">
        <v>4</v>
      </c>
      <c r="G51" s="33">
        <v>0</v>
      </c>
      <c r="H51" s="51">
        <f t="shared" si="0"/>
        <v>0</v>
      </c>
      <c r="I51" s="40">
        <v>0</v>
      </c>
      <c r="J51" s="36">
        <v>0</v>
      </c>
      <c r="K51" s="36">
        <v>0</v>
      </c>
      <c r="L51" s="1">
        <v>0</v>
      </c>
      <c r="M51" s="21">
        <v>0</v>
      </c>
      <c r="N51" s="21">
        <v>0</v>
      </c>
      <c r="O51" s="21">
        <v>0</v>
      </c>
      <c r="P51" s="21">
        <v>0</v>
      </c>
    </row>
    <row r="52" spans="1:17" x14ac:dyDescent="0.2">
      <c r="A52" s="42">
        <v>45103</v>
      </c>
      <c r="B52" s="16" t="s">
        <v>127</v>
      </c>
      <c r="C52" s="33" t="s">
        <v>36</v>
      </c>
      <c r="D52" s="16">
        <v>10</v>
      </c>
      <c r="E52" s="50" t="s">
        <v>18</v>
      </c>
      <c r="F52" s="46">
        <v>5</v>
      </c>
      <c r="G52" s="33">
        <v>0</v>
      </c>
      <c r="H52" s="51">
        <f t="shared" si="0"/>
        <v>0</v>
      </c>
      <c r="I52" s="40">
        <v>0</v>
      </c>
      <c r="J52" s="36">
        <v>0</v>
      </c>
      <c r="K52" s="36">
        <v>0</v>
      </c>
      <c r="L52" s="1">
        <v>0</v>
      </c>
      <c r="M52" s="21">
        <v>0</v>
      </c>
      <c r="N52" s="21">
        <v>0</v>
      </c>
      <c r="O52" s="21">
        <v>0</v>
      </c>
      <c r="P52" s="21">
        <v>0</v>
      </c>
    </row>
    <row r="53" spans="1:17" x14ac:dyDescent="0.2">
      <c r="A53" s="42"/>
      <c r="B53" s="1"/>
      <c r="C53" s="33" t="s">
        <v>36</v>
      </c>
      <c r="D53" s="16">
        <v>10</v>
      </c>
      <c r="E53" s="50" t="s">
        <v>18</v>
      </c>
      <c r="F53" s="46">
        <v>5</v>
      </c>
      <c r="G53" s="33">
        <v>0</v>
      </c>
      <c r="H53" s="51">
        <f t="shared" si="0"/>
        <v>0</v>
      </c>
      <c r="I53" s="40">
        <v>0</v>
      </c>
      <c r="J53" s="36">
        <v>0</v>
      </c>
      <c r="K53" s="36">
        <v>0</v>
      </c>
      <c r="L53" s="1">
        <v>0</v>
      </c>
      <c r="M53" s="21">
        <v>0</v>
      </c>
      <c r="N53" s="21">
        <v>0</v>
      </c>
      <c r="O53" s="21">
        <v>0</v>
      </c>
      <c r="P53" s="21">
        <v>0</v>
      </c>
    </row>
    <row r="54" spans="1:17" x14ac:dyDescent="0.2">
      <c r="A54" s="42"/>
      <c r="B54" s="1"/>
      <c r="C54" s="33" t="s">
        <v>36</v>
      </c>
      <c r="D54" s="16">
        <v>10</v>
      </c>
      <c r="E54" s="50" t="s">
        <v>18</v>
      </c>
      <c r="F54" s="46">
        <v>5</v>
      </c>
      <c r="G54" s="33">
        <v>0</v>
      </c>
      <c r="H54" s="51">
        <f t="shared" si="0"/>
        <v>0</v>
      </c>
      <c r="I54" s="40">
        <v>0</v>
      </c>
      <c r="J54" s="36">
        <v>0</v>
      </c>
      <c r="K54" s="36">
        <v>0</v>
      </c>
      <c r="L54" s="1">
        <v>0</v>
      </c>
      <c r="M54" s="21">
        <v>0</v>
      </c>
      <c r="N54" s="21">
        <v>0</v>
      </c>
      <c r="O54" s="21">
        <v>0</v>
      </c>
      <c r="P54" s="21">
        <v>0</v>
      </c>
    </row>
    <row r="55" spans="1:17" x14ac:dyDescent="0.2">
      <c r="A55" s="42">
        <v>45100</v>
      </c>
      <c r="B55" s="16" t="s">
        <v>127</v>
      </c>
      <c r="C55" s="33" t="s">
        <v>37</v>
      </c>
      <c r="D55" s="16">
        <v>11</v>
      </c>
      <c r="E55" s="50" t="s">
        <v>19</v>
      </c>
      <c r="F55" s="16">
        <v>4</v>
      </c>
      <c r="G55" s="33">
        <v>0</v>
      </c>
      <c r="H55" s="51">
        <f t="shared" si="0"/>
        <v>0</v>
      </c>
      <c r="I55" s="40">
        <v>0</v>
      </c>
      <c r="J55" s="36">
        <v>0</v>
      </c>
      <c r="K55" s="36">
        <v>0</v>
      </c>
      <c r="L55" s="1">
        <v>0</v>
      </c>
      <c r="M55" s="21">
        <v>0</v>
      </c>
      <c r="N55" s="21">
        <v>0</v>
      </c>
      <c r="O55" s="21">
        <v>0</v>
      </c>
      <c r="P55" s="21">
        <v>0</v>
      </c>
    </row>
    <row r="56" spans="1:17" x14ac:dyDescent="0.2">
      <c r="A56" s="42">
        <v>45106</v>
      </c>
      <c r="B56" s="16" t="s">
        <v>127</v>
      </c>
      <c r="C56" s="33" t="s">
        <v>37</v>
      </c>
      <c r="D56" s="16">
        <v>11</v>
      </c>
      <c r="E56" s="50" t="s">
        <v>19</v>
      </c>
      <c r="F56" s="16">
        <v>4</v>
      </c>
      <c r="G56" s="33">
        <v>0</v>
      </c>
      <c r="H56" s="51">
        <f t="shared" ref="H56" si="3">G56/F56</f>
        <v>0</v>
      </c>
      <c r="I56" s="40">
        <v>1</v>
      </c>
      <c r="J56" s="36">
        <v>0</v>
      </c>
      <c r="K56" s="36">
        <v>0</v>
      </c>
      <c r="L56" s="1">
        <v>0</v>
      </c>
      <c r="M56" s="21">
        <v>0</v>
      </c>
      <c r="N56" s="21">
        <v>0</v>
      </c>
      <c r="O56" s="21">
        <v>0</v>
      </c>
      <c r="P56" s="21">
        <v>0</v>
      </c>
    </row>
    <row r="57" spans="1:17" x14ac:dyDescent="0.2">
      <c r="A57" s="42"/>
      <c r="B57" s="1"/>
      <c r="C57" s="33" t="s">
        <v>38</v>
      </c>
      <c r="D57" s="16">
        <v>12</v>
      </c>
      <c r="E57" s="50" t="s">
        <v>20</v>
      </c>
      <c r="F57" s="46">
        <v>3</v>
      </c>
      <c r="G57" s="33">
        <v>0</v>
      </c>
      <c r="H57" s="51">
        <f t="shared" si="0"/>
        <v>0</v>
      </c>
      <c r="I57" s="40">
        <v>0</v>
      </c>
      <c r="J57" s="36">
        <v>0</v>
      </c>
      <c r="K57" s="36">
        <v>0</v>
      </c>
      <c r="L57" s="1">
        <v>0</v>
      </c>
      <c r="M57" s="21">
        <v>0</v>
      </c>
      <c r="N57" s="21">
        <v>0</v>
      </c>
      <c r="O57" s="21">
        <v>0</v>
      </c>
      <c r="P57" s="21">
        <v>0</v>
      </c>
    </row>
    <row r="58" spans="1:17" x14ac:dyDescent="0.2">
      <c r="A58" s="42"/>
      <c r="B58" s="1"/>
      <c r="C58" s="33" t="s">
        <v>124</v>
      </c>
      <c r="D58" s="16">
        <v>13</v>
      </c>
      <c r="E58" s="50" t="s">
        <v>21</v>
      </c>
      <c r="F58" s="16">
        <v>3</v>
      </c>
      <c r="G58" s="33">
        <v>0</v>
      </c>
      <c r="H58" s="51">
        <f t="shared" si="0"/>
        <v>0</v>
      </c>
      <c r="I58" s="40">
        <v>0</v>
      </c>
      <c r="J58" s="36">
        <v>0</v>
      </c>
      <c r="K58" s="36">
        <v>0</v>
      </c>
      <c r="L58" s="1">
        <v>0</v>
      </c>
      <c r="M58" s="21">
        <v>0</v>
      </c>
      <c r="N58" s="21">
        <v>0</v>
      </c>
      <c r="O58" s="21">
        <v>0</v>
      </c>
      <c r="P58" s="21">
        <v>0</v>
      </c>
    </row>
    <row r="59" spans="1:17" x14ac:dyDescent="0.2">
      <c r="A59" s="42"/>
      <c r="B59" s="1"/>
      <c r="C59" s="33" t="s">
        <v>123</v>
      </c>
      <c r="D59" s="16">
        <v>14</v>
      </c>
      <c r="E59" s="50" t="s">
        <v>22</v>
      </c>
      <c r="F59" s="16">
        <v>3</v>
      </c>
      <c r="G59" s="33">
        <v>0</v>
      </c>
      <c r="H59" s="51">
        <f t="shared" si="0"/>
        <v>0</v>
      </c>
      <c r="I59" s="40">
        <v>0</v>
      </c>
      <c r="J59" s="36">
        <v>0</v>
      </c>
      <c r="K59" s="36">
        <v>0</v>
      </c>
      <c r="L59" s="1">
        <v>0</v>
      </c>
      <c r="M59" s="21">
        <v>0</v>
      </c>
      <c r="N59" s="21">
        <v>0</v>
      </c>
      <c r="O59" s="21">
        <v>0</v>
      </c>
      <c r="P59" s="21">
        <v>0</v>
      </c>
    </row>
    <row r="60" spans="1:17" x14ac:dyDescent="0.2">
      <c r="A60" s="42"/>
      <c r="B60" s="40"/>
      <c r="C60" s="33" t="s">
        <v>40</v>
      </c>
      <c r="D60" s="16">
        <v>15</v>
      </c>
      <c r="E60" s="50" t="s">
        <v>125</v>
      </c>
      <c r="F60" s="16">
        <v>6</v>
      </c>
      <c r="G60" s="33">
        <v>0</v>
      </c>
      <c r="H60" s="51">
        <f t="shared" si="0"/>
        <v>0</v>
      </c>
      <c r="I60" s="40">
        <v>0</v>
      </c>
      <c r="J60" s="36">
        <v>0</v>
      </c>
      <c r="K60" s="36">
        <v>0</v>
      </c>
      <c r="L60" s="1">
        <v>0</v>
      </c>
      <c r="M60" s="21">
        <v>0</v>
      </c>
      <c r="N60" s="21">
        <v>0</v>
      </c>
      <c r="O60" s="21">
        <v>0</v>
      </c>
      <c r="P60" s="21">
        <v>0</v>
      </c>
    </row>
    <row r="61" spans="1:17" x14ac:dyDescent="0.2">
      <c r="A61" s="42"/>
      <c r="B61" s="40"/>
      <c r="C61" s="33" t="s">
        <v>129</v>
      </c>
      <c r="D61" s="33">
        <v>16</v>
      </c>
      <c r="E61" s="50" t="s">
        <v>128</v>
      </c>
      <c r="F61" s="1">
        <v>6</v>
      </c>
      <c r="G61" s="33">
        <v>0</v>
      </c>
      <c r="H61" s="51">
        <f t="shared" si="0"/>
        <v>0</v>
      </c>
      <c r="I61" s="40">
        <v>0</v>
      </c>
      <c r="J61" s="36">
        <v>0</v>
      </c>
      <c r="K61" s="36">
        <v>0</v>
      </c>
      <c r="L61" s="1">
        <v>0</v>
      </c>
      <c r="M61" s="21">
        <v>0</v>
      </c>
      <c r="N61" s="21">
        <v>0</v>
      </c>
      <c r="O61" s="21">
        <v>0</v>
      </c>
      <c r="P61" s="21">
        <v>0</v>
      </c>
    </row>
    <row r="62" spans="1:17" x14ac:dyDescent="0.2">
      <c r="A62" s="42"/>
      <c r="B62" s="40"/>
      <c r="C62" s="16" t="s">
        <v>131</v>
      </c>
      <c r="D62" s="16">
        <v>17</v>
      </c>
      <c r="E62" s="50" t="s">
        <v>130</v>
      </c>
      <c r="F62" s="1">
        <v>2</v>
      </c>
      <c r="G62" s="33">
        <v>0</v>
      </c>
      <c r="H62" s="51">
        <f t="shared" si="0"/>
        <v>0</v>
      </c>
      <c r="I62" s="40">
        <v>0</v>
      </c>
      <c r="J62" s="36">
        <v>0</v>
      </c>
      <c r="K62" s="36">
        <v>0</v>
      </c>
      <c r="L62" s="1">
        <v>0</v>
      </c>
      <c r="M62" s="21">
        <v>0</v>
      </c>
      <c r="N62" s="21">
        <v>0</v>
      </c>
      <c r="O62" s="21">
        <v>0</v>
      </c>
      <c r="P62" s="21">
        <v>0</v>
      </c>
    </row>
    <row r="63" spans="1:17" x14ac:dyDescent="0.2">
      <c r="A63" s="42"/>
      <c r="B63" s="40"/>
      <c r="C63" s="16" t="s">
        <v>133</v>
      </c>
      <c r="D63" s="16">
        <v>18</v>
      </c>
      <c r="E63" s="50" t="s">
        <v>132</v>
      </c>
      <c r="F63" s="1">
        <v>3</v>
      </c>
      <c r="G63" s="33">
        <v>0</v>
      </c>
      <c r="H63" s="51">
        <f t="shared" si="0"/>
        <v>0</v>
      </c>
      <c r="I63" s="40">
        <v>0</v>
      </c>
      <c r="J63" s="36">
        <v>0</v>
      </c>
      <c r="K63" s="36">
        <v>0</v>
      </c>
      <c r="L63" s="1">
        <v>0</v>
      </c>
      <c r="M63" s="21">
        <v>0</v>
      </c>
      <c r="N63" s="21">
        <v>0</v>
      </c>
      <c r="O63" s="21">
        <v>0</v>
      </c>
      <c r="P63" s="21">
        <v>0</v>
      </c>
    </row>
    <row r="64" spans="1:17" x14ac:dyDescent="0.2">
      <c r="A64" s="42"/>
      <c r="B64" s="40"/>
      <c r="C64" s="16" t="s">
        <v>143</v>
      </c>
      <c r="D64" s="16">
        <v>19</v>
      </c>
      <c r="E64" s="50" t="s">
        <v>141</v>
      </c>
      <c r="F64" s="1">
        <v>4</v>
      </c>
      <c r="G64" s="33">
        <v>0</v>
      </c>
      <c r="H64" s="51">
        <f t="shared" si="0"/>
        <v>0</v>
      </c>
      <c r="I64" s="40">
        <v>0</v>
      </c>
      <c r="J64" s="36">
        <v>0</v>
      </c>
      <c r="K64" s="36">
        <v>0</v>
      </c>
      <c r="L64" s="1">
        <v>0</v>
      </c>
      <c r="M64" s="21">
        <v>0</v>
      </c>
      <c r="N64" s="21">
        <v>0</v>
      </c>
      <c r="O64" s="21">
        <v>0</v>
      </c>
      <c r="P64" s="21">
        <v>0</v>
      </c>
      <c r="Q64" s="40"/>
    </row>
    <row r="65" spans="1:16" x14ac:dyDescent="0.2">
      <c r="A65" s="42"/>
      <c r="B65" s="40"/>
      <c r="C65" s="16" t="s">
        <v>144</v>
      </c>
      <c r="D65" s="16">
        <v>20</v>
      </c>
      <c r="E65" s="50" t="s">
        <v>142</v>
      </c>
      <c r="F65" s="1">
        <v>4</v>
      </c>
      <c r="G65" s="33">
        <v>0</v>
      </c>
      <c r="H65" s="51">
        <f t="shared" si="0"/>
        <v>0</v>
      </c>
      <c r="I65" s="40">
        <v>0</v>
      </c>
      <c r="J65" s="36">
        <v>0</v>
      </c>
      <c r="K65" s="36">
        <v>0</v>
      </c>
      <c r="L65" s="1">
        <v>0</v>
      </c>
      <c r="M65" s="21">
        <v>0</v>
      </c>
      <c r="N65" s="21">
        <v>0</v>
      </c>
      <c r="O65" s="21">
        <v>0</v>
      </c>
      <c r="P65" s="21">
        <v>0</v>
      </c>
    </row>
    <row r="66" spans="1:16" x14ac:dyDescent="0.2">
      <c r="A66" s="42"/>
      <c r="B66" s="40"/>
      <c r="C66" s="16" t="s">
        <v>136</v>
      </c>
      <c r="D66" s="16">
        <v>21</v>
      </c>
      <c r="E66" s="50" t="s">
        <v>134</v>
      </c>
      <c r="F66" s="1">
        <v>3</v>
      </c>
      <c r="G66" s="33">
        <v>0</v>
      </c>
      <c r="H66" s="51">
        <f t="shared" si="0"/>
        <v>0</v>
      </c>
      <c r="I66" s="40">
        <v>0</v>
      </c>
      <c r="J66" s="36">
        <v>0</v>
      </c>
      <c r="K66" s="36">
        <v>0</v>
      </c>
      <c r="L66" s="1">
        <v>0</v>
      </c>
      <c r="M66" s="21">
        <v>0</v>
      </c>
      <c r="N66" s="21">
        <v>0</v>
      </c>
      <c r="O66" s="21">
        <v>0</v>
      </c>
      <c r="P66" s="21">
        <v>0</v>
      </c>
    </row>
    <row r="67" spans="1:16" ht="13.5" thickBot="1" x14ac:dyDescent="0.25">
      <c r="A67" s="42"/>
      <c r="B67" s="40"/>
      <c r="C67" s="16" t="s">
        <v>137</v>
      </c>
      <c r="D67" s="16">
        <v>22</v>
      </c>
      <c r="E67" s="50" t="s">
        <v>135</v>
      </c>
      <c r="F67" s="4">
        <v>4</v>
      </c>
      <c r="G67" s="59">
        <v>0</v>
      </c>
      <c r="H67" s="60">
        <f t="shared" si="0"/>
        <v>0</v>
      </c>
      <c r="I67" s="61">
        <v>0</v>
      </c>
      <c r="J67" s="4">
        <v>0</v>
      </c>
      <c r="K67" s="4">
        <v>0</v>
      </c>
      <c r="L67" s="4">
        <v>0</v>
      </c>
      <c r="M67" s="61">
        <v>0</v>
      </c>
      <c r="N67" s="61">
        <v>0</v>
      </c>
      <c r="O67" s="61">
        <v>0</v>
      </c>
      <c r="P67" s="61">
        <v>0</v>
      </c>
    </row>
    <row r="68" spans="1:16" x14ac:dyDescent="0.2">
      <c r="A68" s="42"/>
      <c r="F68" s="2">
        <f>SUM(F4:F67)</f>
        <v>228</v>
      </c>
      <c r="G68" s="2">
        <f>SUM(G4:G67)</f>
        <v>0</v>
      </c>
      <c r="H68" s="74">
        <f t="shared" si="0"/>
        <v>0</v>
      </c>
      <c r="I68" s="2">
        <f>SUM(I4:I67)</f>
        <v>3</v>
      </c>
      <c r="J68" s="2">
        <f t="shared" ref="J68:P68" si="4">SUM(J4:J67)</f>
        <v>0</v>
      </c>
      <c r="K68" s="2">
        <f t="shared" si="4"/>
        <v>0</v>
      </c>
      <c r="L68" s="2">
        <f t="shared" si="4"/>
        <v>0</v>
      </c>
      <c r="M68" s="2">
        <f t="shared" si="4"/>
        <v>0</v>
      </c>
      <c r="N68" s="2">
        <f t="shared" si="4"/>
        <v>0</v>
      </c>
      <c r="O68" s="2">
        <f t="shared" si="4"/>
        <v>0</v>
      </c>
      <c r="P68" s="2">
        <f t="shared" si="4"/>
        <v>0</v>
      </c>
    </row>
    <row r="69" spans="1:16" x14ac:dyDescent="0.2">
      <c r="A69" s="42"/>
      <c r="H69" s="1"/>
    </row>
    <row r="70" spans="1:16" x14ac:dyDescent="0.2">
      <c r="A70" s="42"/>
      <c r="H70" s="1"/>
    </row>
    <row r="71" spans="1:16" ht="20.25" x14ac:dyDescent="0.3">
      <c r="A71" s="42"/>
      <c r="B71" s="71"/>
      <c r="C71" s="71"/>
      <c r="D71" s="71"/>
      <c r="E71" s="72"/>
      <c r="F71" s="71"/>
      <c r="G71" s="71"/>
      <c r="H71" s="71"/>
      <c r="I71" s="71"/>
    </row>
    <row r="72" spans="1:16" x14ac:dyDescent="0.2">
      <c r="A72" s="42"/>
      <c r="H72" s="1"/>
    </row>
    <row r="73" spans="1:16" x14ac:dyDescent="0.2">
      <c r="A73" s="42"/>
      <c r="H73" s="1"/>
    </row>
    <row r="74" spans="1:16" x14ac:dyDescent="0.2">
      <c r="A74" s="42"/>
      <c r="H74" s="1"/>
    </row>
    <row r="75" spans="1:16" x14ac:dyDescent="0.2">
      <c r="A75" s="42"/>
      <c r="H75" s="1"/>
    </row>
    <row r="76" spans="1:16" x14ac:dyDescent="0.2">
      <c r="A76" s="42"/>
      <c r="H76" s="1"/>
    </row>
    <row r="77" spans="1:16" x14ac:dyDescent="0.2">
      <c r="A77" s="42"/>
      <c r="H77" s="1"/>
    </row>
    <row r="78" spans="1:16" x14ac:dyDescent="0.2">
      <c r="A78" s="42"/>
      <c r="H78" s="1"/>
    </row>
    <row r="79" spans="1:16" x14ac:dyDescent="0.2">
      <c r="A79" s="42"/>
      <c r="H79" s="1"/>
    </row>
    <row r="80" spans="1:16" x14ac:dyDescent="0.2">
      <c r="A80" s="42"/>
      <c r="H80" s="1"/>
    </row>
    <row r="81" spans="1:8" x14ac:dyDescent="0.2">
      <c r="A81" s="42"/>
      <c r="H81" s="1"/>
    </row>
    <row r="82" spans="1:8" x14ac:dyDescent="0.2">
      <c r="A82" s="42"/>
      <c r="H82" s="1"/>
    </row>
    <row r="83" spans="1:8" x14ac:dyDescent="0.2">
      <c r="A83" s="42"/>
      <c r="H83" s="1"/>
    </row>
    <row r="84" spans="1:8" x14ac:dyDescent="0.2">
      <c r="A84" s="42"/>
      <c r="H84" s="1"/>
    </row>
    <row r="85" spans="1:8" x14ac:dyDescent="0.2">
      <c r="A85" s="42"/>
      <c r="H85" s="1"/>
    </row>
    <row r="86" spans="1:8" x14ac:dyDescent="0.2">
      <c r="A86" s="42"/>
      <c r="H86" s="1"/>
    </row>
    <row r="87" spans="1:8" x14ac:dyDescent="0.2">
      <c r="A87" s="42"/>
      <c r="H87" s="1"/>
    </row>
    <row r="88" spans="1:8" x14ac:dyDescent="0.2">
      <c r="A88" s="42"/>
      <c r="H88" s="1"/>
    </row>
    <row r="89" spans="1:8" x14ac:dyDescent="0.2">
      <c r="A89" s="42"/>
      <c r="H89" s="1"/>
    </row>
    <row r="90" spans="1:8" x14ac:dyDescent="0.2">
      <c r="A90" s="42"/>
      <c r="H90" s="1"/>
    </row>
    <row r="91" spans="1:8" x14ac:dyDescent="0.2">
      <c r="A91" s="42"/>
      <c r="H91" s="1"/>
    </row>
    <row r="92" spans="1:8" x14ac:dyDescent="0.2">
      <c r="A92" s="42"/>
      <c r="H92" s="1"/>
    </row>
    <row r="93" spans="1:8" x14ac:dyDescent="0.2">
      <c r="A93" s="42"/>
      <c r="H93" s="1"/>
    </row>
    <row r="94" spans="1:8" x14ac:dyDescent="0.2">
      <c r="A94" s="42"/>
      <c r="H94" s="1"/>
    </row>
    <row r="95" spans="1:8" x14ac:dyDescent="0.2">
      <c r="A95" s="42"/>
      <c r="H95" s="1"/>
    </row>
    <row r="96" spans="1:8" x14ac:dyDescent="0.2">
      <c r="A96" s="42"/>
      <c r="H96" s="1"/>
    </row>
    <row r="97" spans="1:8" x14ac:dyDescent="0.2">
      <c r="A97" s="42"/>
      <c r="H97" s="1"/>
    </row>
    <row r="98" spans="1:8" x14ac:dyDescent="0.2">
      <c r="A98" s="42"/>
      <c r="H98" s="1"/>
    </row>
    <row r="99" spans="1:8" x14ac:dyDescent="0.2">
      <c r="A99" s="42"/>
      <c r="H99" s="1"/>
    </row>
    <row r="100" spans="1:8" x14ac:dyDescent="0.2">
      <c r="A100" s="42"/>
      <c r="H100" s="1"/>
    </row>
    <row r="101" spans="1:8" x14ac:dyDescent="0.2">
      <c r="A101" s="42"/>
      <c r="H101" s="1"/>
    </row>
    <row r="102" spans="1:8" x14ac:dyDescent="0.2">
      <c r="A102" s="42"/>
      <c r="H102" s="1"/>
    </row>
    <row r="103" spans="1:8" x14ac:dyDescent="0.2">
      <c r="A103" s="42"/>
      <c r="H103" s="1"/>
    </row>
    <row r="104" spans="1:8" x14ac:dyDescent="0.2">
      <c r="A104" s="42"/>
      <c r="H104" s="1"/>
    </row>
    <row r="105" spans="1:8" x14ac:dyDescent="0.2">
      <c r="A105" s="42"/>
      <c r="H105" s="1"/>
    </row>
    <row r="106" spans="1:8" x14ac:dyDescent="0.2">
      <c r="A106" s="42"/>
      <c r="H106" s="1"/>
    </row>
    <row r="107" spans="1:8" x14ac:dyDescent="0.2">
      <c r="A107" s="42"/>
      <c r="H107" s="1"/>
    </row>
    <row r="108" spans="1:8" x14ac:dyDescent="0.2">
      <c r="A108" s="42"/>
      <c r="H108" s="1"/>
    </row>
    <row r="109" spans="1:8" x14ac:dyDescent="0.2">
      <c r="A109" s="42"/>
      <c r="H109" s="1"/>
    </row>
    <row r="110" spans="1:8" x14ac:dyDescent="0.2">
      <c r="A110" s="42"/>
      <c r="H110" s="1"/>
    </row>
    <row r="111" spans="1:8" x14ac:dyDescent="0.2">
      <c r="A111" s="42"/>
      <c r="H111" s="1"/>
    </row>
    <row r="112" spans="1:8" x14ac:dyDescent="0.2">
      <c r="A112" s="42"/>
      <c r="H112" s="1"/>
    </row>
    <row r="113" spans="1:8" x14ac:dyDescent="0.2">
      <c r="A113" s="42"/>
      <c r="H113" s="1"/>
    </row>
    <row r="114" spans="1:8" x14ac:dyDescent="0.2">
      <c r="A114" s="42"/>
      <c r="H114" s="1"/>
    </row>
    <row r="115" spans="1:8" x14ac:dyDescent="0.2">
      <c r="A115" s="42"/>
      <c r="H115" s="1"/>
    </row>
    <row r="116" spans="1:8" x14ac:dyDescent="0.2">
      <c r="A116" s="42"/>
      <c r="H116" s="1"/>
    </row>
    <row r="117" spans="1:8" x14ac:dyDescent="0.2">
      <c r="A117" s="42"/>
      <c r="H117" s="1"/>
    </row>
    <row r="118" spans="1:8" x14ac:dyDescent="0.2">
      <c r="A118" s="42"/>
      <c r="H118" s="1"/>
    </row>
    <row r="119" spans="1:8" x14ac:dyDescent="0.2">
      <c r="A119" s="42"/>
      <c r="H119" s="1"/>
    </row>
    <row r="120" spans="1:8" x14ac:dyDescent="0.2">
      <c r="A120" s="42"/>
      <c r="H120" s="1"/>
    </row>
    <row r="121" spans="1:8" x14ac:dyDescent="0.2">
      <c r="A121" s="42"/>
      <c r="H121" s="1"/>
    </row>
    <row r="122" spans="1:8" x14ac:dyDescent="0.2">
      <c r="A122" s="42"/>
      <c r="H122" s="1"/>
    </row>
    <row r="123" spans="1:8" x14ac:dyDescent="0.2">
      <c r="A123" s="42"/>
      <c r="H123" s="1"/>
    </row>
    <row r="124" spans="1:8" x14ac:dyDescent="0.2">
      <c r="A124" s="42"/>
      <c r="H124" s="1"/>
    </row>
    <row r="125" spans="1:8" x14ac:dyDescent="0.2">
      <c r="A125" s="42"/>
      <c r="H125" s="1"/>
    </row>
    <row r="126" spans="1:8" x14ac:dyDescent="0.2">
      <c r="A126" s="42"/>
      <c r="H126" s="1"/>
    </row>
    <row r="127" spans="1:8" x14ac:dyDescent="0.2">
      <c r="A127" s="42"/>
      <c r="H127" s="1"/>
    </row>
    <row r="128" spans="1:8" x14ac:dyDescent="0.2">
      <c r="A128" s="42"/>
      <c r="H128" s="1"/>
    </row>
    <row r="129" spans="1:8" x14ac:dyDescent="0.2">
      <c r="A129" s="42"/>
      <c r="H129" s="1"/>
    </row>
  </sheetData>
  <pageMargins left="0.7" right="0.7" top="0.75" bottom="0.75" header="0.3" footer="0.3"/>
  <pageSetup orientation="portrait" r:id="rId1"/>
  <ignoredErrors>
    <ignoredError sqref="H6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8"/>
  <sheetViews>
    <sheetView workbookViewId="0">
      <pane ySplit="3" topLeftCell="A4" activePane="bottomLeft" state="frozen"/>
      <selection pane="bottomLeft" activeCell="R17" sqref="R17"/>
    </sheetView>
  </sheetViews>
  <sheetFormatPr defaultRowHeight="12.75" x14ac:dyDescent="0.2"/>
  <cols>
    <col min="1" max="1" width="10.42578125" customWidth="1"/>
    <col min="5" max="5" width="38.28515625" customWidth="1"/>
    <col min="6" max="6" width="10.140625" customWidth="1"/>
    <col min="16" max="16" width="17.42578125" customWidth="1"/>
  </cols>
  <sheetData>
    <row r="1" spans="1:16" x14ac:dyDescent="0.2">
      <c r="A1" s="2"/>
      <c r="B1" s="2"/>
      <c r="C1" s="2"/>
      <c r="D1" s="2"/>
      <c r="E1" s="2"/>
      <c r="I1" s="3" t="s">
        <v>24</v>
      </c>
      <c r="J1" s="3"/>
      <c r="K1" s="3"/>
    </row>
    <row r="2" spans="1:16" x14ac:dyDescent="0.2">
      <c r="D2" s="2" t="s">
        <v>113</v>
      </c>
      <c r="F2" s="2" t="s">
        <v>4</v>
      </c>
      <c r="G2" s="2" t="s">
        <v>140</v>
      </c>
      <c r="H2" s="2" t="s">
        <v>3</v>
      </c>
      <c r="J2" s="2" t="s">
        <v>8</v>
      </c>
      <c r="K2" s="2"/>
      <c r="P2" s="21" t="s">
        <v>154</v>
      </c>
    </row>
    <row r="3" spans="1:16" ht="13.5" thickBot="1" x14ac:dyDescent="0.25">
      <c r="A3" s="2" t="s">
        <v>0</v>
      </c>
      <c r="B3" s="2" t="s">
        <v>1</v>
      </c>
      <c r="C3" s="2" t="s">
        <v>108</v>
      </c>
      <c r="D3" s="2" t="s">
        <v>114</v>
      </c>
      <c r="E3" s="2" t="s">
        <v>2</v>
      </c>
      <c r="F3" s="2" t="s">
        <v>26</v>
      </c>
      <c r="G3" s="2" t="s">
        <v>3</v>
      </c>
      <c r="H3" s="2" t="s">
        <v>73</v>
      </c>
      <c r="I3" s="2" t="s">
        <v>5</v>
      </c>
      <c r="J3" s="4" t="s">
        <v>6</v>
      </c>
      <c r="K3" s="4" t="s">
        <v>7</v>
      </c>
      <c r="L3" s="1" t="s">
        <v>109</v>
      </c>
      <c r="M3" s="21" t="s">
        <v>110</v>
      </c>
      <c r="N3" s="21" t="s">
        <v>111</v>
      </c>
      <c r="O3" s="21" t="s">
        <v>112</v>
      </c>
      <c r="P3" s="21" t="s">
        <v>155</v>
      </c>
    </row>
    <row r="4" spans="1:16" x14ac:dyDescent="0.2">
      <c r="A4" s="57">
        <v>44804</v>
      </c>
      <c r="B4" s="1">
        <v>1</v>
      </c>
      <c r="C4" s="33" t="s">
        <v>27</v>
      </c>
      <c r="D4" s="16">
        <v>1</v>
      </c>
      <c r="E4" s="50" t="s">
        <v>9</v>
      </c>
      <c r="F4" s="16">
        <v>6</v>
      </c>
      <c r="G4" s="33">
        <v>0</v>
      </c>
      <c r="H4" s="56">
        <f t="shared" ref="H4:H10" si="0">G4/F4</f>
        <v>0</v>
      </c>
      <c r="I4" s="16">
        <v>0</v>
      </c>
      <c r="J4" s="36">
        <v>0</v>
      </c>
      <c r="K4" s="36">
        <v>0</v>
      </c>
      <c r="L4" s="1">
        <v>0</v>
      </c>
      <c r="M4" s="21">
        <v>0</v>
      </c>
      <c r="N4" s="21">
        <v>0</v>
      </c>
      <c r="O4" s="21">
        <v>0</v>
      </c>
      <c r="P4" s="21">
        <v>0</v>
      </c>
    </row>
    <row r="5" spans="1:16" x14ac:dyDescent="0.2">
      <c r="A5" s="57">
        <v>44818</v>
      </c>
      <c r="B5" s="1">
        <v>2</v>
      </c>
      <c r="C5" s="33" t="s">
        <v>27</v>
      </c>
      <c r="D5" s="16">
        <v>1</v>
      </c>
      <c r="E5" s="50" t="s">
        <v>9</v>
      </c>
      <c r="F5" s="16">
        <v>6</v>
      </c>
      <c r="G5" s="33">
        <v>3</v>
      </c>
      <c r="H5" s="56">
        <f t="shared" si="0"/>
        <v>0.5</v>
      </c>
      <c r="I5" s="16">
        <v>2</v>
      </c>
      <c r="J5" s="36">
        <v>0</v>
      </c>
      <c r="K5" s="36">
        <v>1</v>
      </c>
      <c r="L5" s="1">
        <v>0</v>
      </c>
      <c r="M5" s="21">
        <v>0</v>
      </c>
      <c r="N5" s="21">
        <v>0</v>
      </c>
      <c r="O5" s="21">
        <v>1</v>
      </c>
      <c r="P5" s="21">
        <v>0</v>
      </c>
    </row>
    <row r="6" spans="1:16" x14ac:dyDescent="0.2">
      <c r="A6" s="57">
        <v>44823</v>
      </c>
      <c r="B6" s="1">
        <v>3</v>
      </c>
      <c r="C6" s="33" t="s">
        <v>27</v>
      </c>
      <c r="D6" s="16">
        <v>1</v>
      </c>
      <c r="E6" s="50" t="s">
        <v>9</v>
      </c>
      <c r="F6" s="16">
        <v>6</v>
      </c>
      <c r="G6" s="33">
        <v>0</v>
      </c>
      <c r="H6" s="56">
        <f t="shared" si="0"/>
        <v>0</v>
      </c>
      <c r="I6" s="16">
        <v>0</v>
      </c>
      <c r="J6" s="36">
        <v>0</v>
      </c>
      <c r="K6" s="36">
        <v>0</v>
      </c>
      <c r="L6" s="1">
        <v>0</v>
      </c>
      <c r="M6" s="21">
        <v>0</v>
      </c>
      <c r="N6" s="21">
        <v>0</v>
      </c>
      <c r="O6" s="21">
        <v>0</v>
      </c>
      <c r="P6" s="21">
        <v>0</v>
      </c>
    </row>
    <row r="7" spans="1:16" x14ac:dyDescent="0.2">
      <c r="A7" s="57">
        <v>44804</v>
      </c>
      <c r="B7" s="1">
        <v>1</v>
      </c>
      <c r="C7" s="33" t="s">
        <v>28</v>
      </c>
      <c r="D7" s="16">
        <v>2</v>
      </c>
      <c r="E7" s="50" t="s">
        <v>10</v>
      </c>
      <c r="F7" s="16">
        <v>3</v>
      </c>
      <c r="G7" s="16">
        <v>1</v>
      </c>
      <c r="H7" s="56">
        <f t="shared" si="0"/>
        <v>0.33333333333333331</v>
      </c>
      <c r="I7" s="16">
        <v>3</v>
      </c>
      <c r="J7" s="36">
        <v>0</v>
      </c>
      <c r="K7" s="36">
        <v>0</v>
      </c>
      <c r="L7" s="1">
        <v>0</v>
      </c>
      <c r="M7" s="21">
        <v>0</v>
      </c>
      <c r="N7" s="21">
        <v>0</v>
      </c>
      <c r="O7" s="21">
        <v>0</v>
      </c>
      <c r="P7" s="21">
        <v>0</v>
      </c>
    </row>
    <row r="8" spans="1:16" x14ac:dyDescent="0.2">
      <c r="A8" s="57">
        <v>44811</v>
      </c>
      <c r="B8" s="1">
        <v>2</v>
      </c>
      <c r="C8" s="33" t="s">
        <v>28</v>
      </c>
      <c r="D8" s="16">
        <v>2</v>
      </c>
      <c r="E8" s="50" t="s">
        <v>10</v>
      </c>
      <c r="F8" s="16">
        <v>3</v>
      </c>
      <c r="G8" s="16">
        <v>5</v>
      </c>
      <c r="H8" s="56">
        <f t="shared" si="0"/>
        <v>1.6666666666666667</v>
      </c>
      <c r="I8" s="16">
        <v>9</v>
      </c>
      <c r="J8" s="36">
        <v>0</v>
      </c>
      <c r="K8" s="36">
        <v>0</v>
      </c>
      <c r="L8" s="1">
        <v>0</v>
      </c>
      <c r="M8" s="21">
        <v>0</v>
      </c>
      <c r="N8" s="21">
        <v>0</v>
      </c>
      <c r="O8" s="21">
        <v>0</v>
      </c>
      <c r="P8" s="21">
        <v>0</v>
      </c>
    </row>
    <row r="9" spans="1:16" x14ac:dyDescent="0.2">
      <c r="A9" s="57">
        <v>44818</v>
      </c>
      <c r="B9" s="1">
        <v>3</v>
      </c>
      <c r="C9" s="33" t="s">
        <v>28</v>
      </c>
      <c r="D9" s="16">
        <v>2</v>
      </c>
      <c r="E9" s="50" t="s">
        <v>10</v>
      </c>
      <c r="F9" s="16">
        <v>3</v>
      </c>
      <c r="G9" s="16">
        <v>4</v>
      </c>
      <c r="H9" s="56">
        <f t="shared" si="0"/>
        <v>1.3333333333333333</v>
      </c>
      <c r="I9" s="16">
        <v>3</v>
      </c>
      <c r="J9" s="36">
        <v>1</v>
      </c>
      <c r="K9" s="36">
        <v>3</v>
      </c>
      <c r="L9" s="1">
        <v>1</v>
      </c>
      <c r="M9" s="21">
        <v>0</v>
      </c>
      <c r="N9" s="21">
        <v>0</v>
      </c>
      <c r="O9" s="21">
        <v>3</v>
      </c>
      <c r="P9" s="21">
        <v>0</v>
      </c>
    </row>
    <row r="10" spans="1:16" x14ac:dyDescent="0.2">
      <c r="A10" s="57">
        <v>44823</v>
      </c>
      <c r="B10" s="1">
        <v>4</v>
      </c>
      <c r="C10" s="33" t="s">
        <v>28</v>
      </c>
      <c r="D10" s="16">
        <v>2</v>
      </c>
      <c r="E10" s="50" t="s">
        <v>10</v>
      </c>
      <c r="F10" s="16">
        <v>3</v>
      </c>
      <c r="G10" s="16">
        <v>2</v>
      </c>
      <c r="H10" s="56">
        <f t="shared" si="0"/>
        <v>0.66666666666666663</v>
      </c>
      <c r="I10" s="16">
        <v>1</v>
      </c>
      <c r="J10" s="36">
        <v>0</v>
      </c>
      <c r="K10" s="36">
        <v>2</v>
      </c>
      <c r="L10" s="1">
        <v>0</v>
      </c>
      <c r="M10" s="21">
        <v>0</v>
      </c>
      <c r="N10" s="21">
        <v>0</v>
      </c>
      <c r="O10" s="21">
        <v>2</v>
      </c>
      <c r="P10" s="21">
        <v>0</v>
      </c>
    </row>
    <row r="11" spans="1:16" x14ac:dyDescent="0.2">
      <c r="A11" s="57">
        <v>44804</v>
      </c>
      <c r="B11" s="1">
        <v>1</v>
      </c>
      <c r="C11" s="33" t="s">
        <v>29</v>
      </c>
      <c r="D11" s="16">
        <v>3</v>
      </c>
      <c r="E11" s="50" t="s">
        <v>11</v>
      </c>
      <c r="F11" s="16">
        <v>2</v>
      </c>
      <c r="G11" s="16">
        <v>0</v>
      </c>
      <c r="H11" s="56">
        <f t="shared" ref="H11:H67" si="1">G11/F11</f>
        <v>0</v>
      </c>
      <c r="I11" s="16">
        <v>1</v>
      </c>
      <c r="J11" s="36">
        <v>0</v>
      </c>
      <c r="K11" s="36">
        <v>0</v>
      </c>
      <c r="L11" s="1">
        <v>0</v>
      </c>
      <c r="M11" s="21">
        <v>0</v>
      </c>
      <c r="N11" s="21">
        <v>0</v>
      </c>
      <c r="O11" s="21">
        <v>0</v>
      </c>
      <c r="P11" s="21">
        <v>0</v>
      </c>
    </row>
    <row r="12" spans="1:16" x14ac:dyDescent="0.2">
      <c r="A12" s="57">
        <v>44811</v>
      </c>
      <c r="B12" s="1">
        <v>2</v>
      </c>
      <c r="C12" s="33" t="s">
        <v>29</v>
      </c>
      <c r="D12" s="16">
        <v>3</v>
      </c>
      <c r="E12" s="50" t="s">
        <v>11</v>
      </c>
      <c r="F12" s="16">
        <v>2</v>
      </c>
      <c r="G12" s="16">
        <v>1</v>
      </c>
      <c r="H12" s="56">
        <f>G12/F12</f>
        <v>0.5</v>
      </c>
      <c r="I12" s="16">
        <v>1</v>
      </c>
      <c r="J12" s="36">
        <v>0</v>
      </c>
      <c r="K12" s="36">
        <v>0</v>
      </c>
      <c r="L12" s="1">
        <v>0</v>
      </c>
      <c r="M12" s="21">
        <v>0</v>
      </c>
      <c r="N12" s="21">
        <v>0</v>
      </c>
      <c r="O12" s="21">
        <v>0</v>
      </c>
      <c r="P12" s="21">
        <v>0</v>
      </c>
    </row>
    <row r="13" spans="1:16" x14ac:dyDescent="0.2">
      <c r="A13" s="57">
        <v>44818</v>
      </c>
      <c r="B13" s="1">
        <v>3</v>
      </c>
      <c r="C13" s="33" t="s">
        <v>29</v>
      </c>
      <c r="D13" s="16">
        <v>3</v>
      </c>
      <c r="E13" s="50" t="s">
        <v>11</v>
      </c>
      <c r="F13" s="16">
        <v>2</v>
      </c>
      <c r="G13" s="16">
        <v>0</v>
      </c>
      <c r="H13" s="56">
        <f>G13/F13</f>
        <v>0</v>
      </c>
      <c r="I13" s="16">
        <v>0</v>
      </c>
      <c r="J13" s="36">
        <v>0</v>
      </c>
      <c r="K13" s="36">
        <v>0</v>
      </c>
      <c r="L13" s="1">
        <v>0</v>
      </c>
      <c r="M13" s="21">
        <v>0</v>
      </c>
      <c r="N13" s="21">
        <v>0</v>
      </c>
      <c r="O13" s="21">
        <v>0</v>
      </c>
      <c r="P13" s="21">
        <v>0</v>
      </c>
    </row>
    <row r="14" spans="1:16" x14ac:dyDescent="0.2">
      <c r="A14" s="57">
        <v>44823</v>
      </c>
      <c r="B14" s="1">
        <v>4</v>
      </c>
      <c r="C14" s="33" t="s">
        <v>29</v>
      </c>
      <c r="D14" s="16">
        <v>3</v>
      </c>
      <c r="E14" s="50" t="s">
        <v>11</v>
      </c>
      <c r="F14" s="16">
        <v>2</v>
      </c>
      <c r="G14" s="16">
        <v>0</v>
      </c>
      <c r="H14" s="56">
        <f t="shared" ref="H14" si="2">G14/F14</f>
        <v>0</v>
      </c>
      <c r="I14" s="16">
        <v>0</v>
      </c>
      <c r="J14" s="36">
        <v>0</v>
      </c>
      <c r="K14" s="36">
        <v>0</v>
      </c>
      <c r="L14" s="1">
        <v>0</v>
      </c>
      <c r="M14" s="21">
        <v>0</v>
      </c>
      <c r="N14" s="21">
        <v>0</v>
      </c>
      <c r="O14" s="21">
        <v>0</v>
      </c>
      <c r="P14" s="21">
        <v>0</v>
      </c>
    </row>
    <row r="15" spans="1:16" x14ac:dyDescent="0.2">
      <c r="A15" s="57">
        <v>44804</v>
      </c>
      <c r="B15" s="1">
        <v>1</v>
      </c>
      <c r="C15" s="33" t="s">
        <v>30</v>
      </c>
      <c r="D15" s="16">
        <v>4</v>
      </c>
      <c r="E15" s="50" t="s">
        <v>12</v>
      </c>
      <c r="F15" s="16">
        <v>5</v>
      </c>
      <c r="G15" s="16">
        <v>0</v>
      </c>
      <c r="H15" s="56">
        <f t="shared" si="1"/>
        <v>0</v>
      </c>
      <c r="I15" s="16">
        <v>0</v>
      </c>
      <c r="J15" s="36">
        <v>0</v>
      </c>
      <c r="K15" s="36">
        <v>0</v>
      </c>
      <c r="L15" s="1">
        <v>0</v>
      </c>
      <c r="M15" s="21">
        <v>0</v>
      </c>
      <c r="N15" s="21">
        <v>0</v>
      </c>
      <c r="O15" s="21">
        <v>0</v>
      </c>
      <c r="P15" s="21">
        <v>0</v>
      </c>
    </row>
    <row r="16" spans="1:16" x14ac:dyDescent="0.2">
      <c r="A16" s="57">
        <v>44811</v>
      </c>
      <c r="B16" s="1">
        <v>2</v>
      </c>
      <c r="C16" s="33" t="s">
        <v>30</v>
      </c>
      <c r="D16" s="16">
        <v>4</v>
      </c>
      <c r="E16" s="50" t="s">
        <v>12</v>
      </c>
      <c r="F16" s="16">
        <v>5</v>
      </c>
      <c r="G16" s="16">
        <v>4</v>
      </c>
      <c r="H16" s="56">
        <f>G16/F16</f>
        <v>0.8</v>
      </c>
      <c r="I16" s="16">
        <v>4</v>
      </c>
      <c r="J16" s="36">
        <v>0</v>
      </c>
      <c r="K16" s="36">
        <v>2</v>
      </c>
      <c r="L16" s="1">
        <v>0</v>
      </c>
      <c r="M16" s="21">
        <v>0</v>
      </c>
      <c r="N16" s="21">
        <v>1</v>
      </c>
      <c r="O16" s="21">
        <v>1</v>
      </c>
      <c r="P16" s="21">
        <v>0</v>
      </c>
    </row>
    <row r="17" spans="1:16" x14ac:dyDescent="0.2">
      <c r="A17" s="57">
        <v>44818</v>
      </c>
      <c r="B17" s="1">
        <v>3</v>
      </c>
      <c r="C17" s="33" t="s">
        <v>30</v>
      </c>
      <c r="D17" s="16">
        <v>4</v>
      </c>
      <c r="E17" s="50" t="s">
        <v>12</v>
      </c>
      <c r="F17" s="16">
        <v>5</v>
      </c>
      <c r="G17" s="16">
        <v>2</v>
      </c>
      <c r="H17" s="56">
        <f>G17/F17</f>
        <v>0.4</v>
      </c>
      <c r="I17" s="16">
        <v>3</v>
      </c>
      <c r="J17" s="36">
        <v>0</v>
      </c>
      <c r="K17" s="36">
        <v>0</v>
      </c>
      <c r="L17" s="1">
        <v>0</v>
      </c>
      <c r="M17" s="21">
        <v>0</v>
      </c>
      <c r="N17" s="21">
        <v>0</v>
      </c>
      <c r="O17" s="21">
        <v>0</v>
      </c>
      <c r="P17" s="21">
        <v>0</v>
      </c>
    </row>
    <row r="18" spans="1:16" x14ac:dyDescent="0.2">
      <c r="A18" s="57">
        <v>44823</v>
      </c>
      <c r="B18" s="1">
        <v>4</v>
      </c>
      <c r="C18" s="33" t="s">
        <v>30</v>
      </c>
      <c r="D18" s="16">
        <v>4</v>
      </c>
      <c r="E18" s="50" t="s">
        <v>12</v>
      </c>
      <c r="F18" s="16">
        <v>5</v>
      </c>
      <c r="G18" s="16">
        <v>0</v>
      </c>
      <c r="H18" s="56">
        <f t="shared" ref="H18" si="3">G18/F18</f>
        <v>0</v>
      </c>
      <c r="I18" s="16">
        <v>2</v>
      </c>
      <c r="J18" s="36">
        <v>0</v>
      </c>
      <c r="K18" s="36">
        <v>0</v>
      </c>
      <c r="L18" s="1">
        <v>0</v>
      </c>
      <c r="M18" s="21">
        <v>0</v>
      </c>
      <c r="N18" s="21">
        <v>0</v>
      </c>
      <c r="O18" s="21">
        <v>0</v>
      </c>
      <c r="P18" s="21">
        <v>0</v>
      </c>
    </row>
    <row r="19" spans="1:16" x14ac:dyDescent="0.2">
      <c r="A19" s="57">
        <v>44756</v>
      </c>
      <c r="B19" s="1" t="s">
        <v>127</v>
      </c>
      <c r="C19" s="33" t="s">
        <v>31</v>
      </c>
      <c r="D19" s="16">
        <v>5</v>
      </c>
      <c r="E19" s="50" t="s">
        <v>159</v>
      </c>
      <c r="F19" s="16">
        <v>2</v>
      </c>
      <c r="G19" s="16">
        <v>0</v>
      </c>
      <c r="H19" s="56">
        <f t="shared" si="1"/>
        <v>0</v>
      </c>
      <c r="I19" s="16">
        <v>0</v>
      </c>
      <c r="J19" s="36">
        <v>0</v>
      </c>
      <c r="K19" s="36">
        <v>0</v>
      </c>
      <c r="L19" s="1">
        <v>0</v>
      </c>
      <c r="M19" s="21">
        <v>0</v>
      </c>
      <c r="N19" s="21">
        <v>0</v>
      </c>
      <c r="O19" s="21">
        <v>0</v>
      </c>
      <c r="P19" s="21">
        <v>0</v>
      </c>
    </row>
    <row r="20" spans="1:16" x14ac:dyDescent="0.2">
      <c r="A20" s="57">
        <v>44798</v>
      </c>
      <c r="B20" s="1" t="s">
        <v>127</v>
      </c>
      <c r="C20" s="33" t="s">
        <v>31</v>
      </c>
      <c r="D20" s="16">
        <v>5</v>
      </c>
      <c r="E20" s="50" t="s">
        <v>159</v>
      </c>
      <c r="F20" s="16">
        <v>2</v>
      </c>
      <c r="G20" s="16">
        <v>0</v>
      </c>
      <c r="H20" s="56">
        <f t="shared" si="1"/>
        <v>0</v>
      </c>
      <c r="I20" s="16">
        <v>0</v>
      </c>
      <c r="J20" s="36">
        <v>0</v>
      </c>
      <c r="K20" s="36">
        <v>0</v>
      </c>
      <c r="L20" s="1">
        <v>0</v>
      </c>
      <c r="M20" s="21">
        <v>0</v>
      </c>
      <c r="N20" s="21">
        <v>0</v>
      </c>
      <c r="O20" s="21">
        <v>0</v>
      </c>
      <c r="P20" s="21">
        <v>0</v>
      </c>
    </row>
    <row r="21" spans="1:16" x14ac:dyDescent="0.2">
      <c r="A21" s="57">
        <v>44806</v>
      </c>
      <c r="B21" s="1">
        <v>1</v>
      </c>
      <c r="C21" s="33" t="s">
        <v>31</v>
      </c>
      <c r="D21" s="16">
        <v>5</v>
      </c>
      <c r="E21" s="50" t="s">
        <v>159</v>
      </c>
      <c r="F21" s="16">
        <v>2</v>
      </c>
      <c r="G21" s="16">
        <v>0</v>
      </c>
      <c r="H21" s="56">
        <f>G21/F21</f>
        <v>0</v>
      </c>
      <c r="I21" s="16">
        <v>0</v>
      </c>
      <c r="J21" s="36">
        <v>0</v>
      </c>
      <c r="K21" s="36">
        <v>0</v>
      </c>
      <c r="L21" s="1">
        <v>0</v>
      </c>
      <c r="M21" s="21">
        <v>0</v>
      </c>
      <c r="N21" s="21">
        <v>0</v>
      </c>
      <c r="O21" s="21">
        <v>0</v>
      </c>
      <c r="P21" s="21">
        <v>0</v>
      </c>
    </row>
    <row r="22" spans="1:16" x14ac:dyDescent="0.2">
      <c r="A22" s="57">
        <v>44811</v>
      </c>
      <c r="B22" s="1">
        <v>2</v>
      </c>
      <c r="C22" s="33" t="s">
        <v>31</v>
      </c>
      <c r="D22" s="16">
        <v>5</v>
      </c>
      <c r="E22" s="50" t="s">
        <v>159</v>
      </c>
      <c r="F22" s="16">
        <v>2</v>
      </c>
      <c r="G22" s="16">
        <v>0</v>
      </c>
      <c r="H22" s="56">
        <f t="shared" si="1"/>
        <v>0</v>
      </c>
      <c r="I22" s="16">
        <v>0</v>
      </c>
      <c r="J22" s="36">
        <v>0</v>
      </c>
      <c r="K22" s="36">
        <v>0</v>
      </c>
      <c r="L22" s="1">
        <v>0</v>
      </c>
      <c r="M22" s="21">
        <v>0</v>
      </c>
      <c r="N22" s="21">
        <v>0</v>
      </c>
      <c r="O22" s="21">
        <v>0</v>
      </c>
      <c r="P22" s="21">
        <v>0</v>
      </c>
    </row>
    <row r="23" spans="1:16" x14ac:dyDescent="0.2">
      <c r="A23" s="57">
        <v>44816</v>
      </c>
      <c r="B23" s="1">
        <v>3</v>
      </c>
      <c r="C23" s="33" t="s">
        <v>31</v>
      </c>
      <c r="D23" s="16">
        <v>5</v>
      </c>
      <c r="E23" s="50" t="s">
        <v>159</v>
      </c>
      <c r="F23" s="16">
        <v>2</v>
      </c>
      <c r="G23" s="16">
        <v>0</v>
      </c>
      <c r="H23" s="56">
        <f>G23/F23</f>
        <v>0</v>
      </c>
      <c r="I23" s="16">
        <v>0</v>
      </c>
      <c r="J23" s="36">
        <v>0</v>
      </c>
      <c r="K23" s="36">
        <v>0</v>
      </c>
      <c r="L23" s="1">
        <v>0</v>
      </c>
      <c r="M23" s="21">
        <v>0</v>
      </c>
      <c r="N23" s="21">
        <v>0</v>
      </c>
      <c r="O23" s="21">
        <v>0</v>
      </c>
      <c r="P23" s="21">
        <v>0</v>
      </c>
    </row>
    <row r="24" spans="1:16" x14ac:dyDescent="0.2">
      <c r="A24" s="57">
        <v>44756</v>
      </c>
      <c r="B24" s="1" t="s">
        <v>127</v>
      </c>
      <c r="C24" s="33" t="s">
        <v>32</v>
      </c>
      <c r="D24" s="16">
        <v>6</v>
      </c>
      <c r="E24" s="50" t="s">
        <v>14</v>
      </c>
      <c r="F24" s="16">
        <v>4</v>
      </c>
      <c r="G24" s="16">
        <v>0</v>
      </c>
      <c r="H24" s="56">
        <f t="shared" si="1"/>
        <v>0</v>
      </c>
      <c r="I24" s="16">
        <v>0</v>
      </c>
      <c r="J24" s="36">
        <v>0</v>
      </c>
      <c r="K24" s="36">
        <v>0</v>
      </c>
      <c r="L24" s="1">
        <v>0</v>
      </c>
      <c r="M24" s="21">
        <v>0</v>
      </c>
      <c r="N24" s="21">
        <v>0</v>
      </c>
      <c r="O24" s="21">
        <v>0</v>
      </c>
      <c r="P24" s="21">
        <v>0</v>
      </c>
    </row>
    <row r="25" spans="1:16" x14ac:dyDescent="0.2">
      <c r="A25" s="57">
        <v>44798</v>
      </c>
      <c r="B25" s="1" t="s">
        <v>127</v>
      </c>
      <c r="C25" s="33" t="s">
        <v>32</v>
      </c>
      <c r="D25" s="16">
        <v>6</v>
      </c>
      <c r="E25" s="50" t="s">
        <v>14</v>
      </c>
      <c r="F25" s="16">
        <v>4</v>
      </c>
      <c r="G25" s="16">
        <v>0</v>
      </c>
      <c r="H25" s="56">
        <f t="shared" si="1"/>
        <v>0</v>
      </c>
      <c r="I25" s="16">
        <v>0</v>
      </c>
      <c r="J25" s="36">
        <v>0</v>
      </c>
      <c r="K25" s="36">
        <v>0</v>
      </c>
      <c r="L25" s="1">
        <v>0</v>
      </c>
      <c r="M25" s="21">
        <v>0</v>
      </c>
      <c r="N25" s="21">
        <v>0</v>
      </c>
      <c r="O25" s="21">
        <v>0</v>
      </c>
      <c r="P25" s="21">
        <v>0</v>
      </c>
    </row>
    <row r="26" spans="1:16" x14ac:dyDescent="0.2">
      <c r="A26" s="57">
        <v>44806</v>
      </c>
      <c r="B26" s="1">
        <v>1</v>
      </c>
      <c r="C26" s="33" t="s">
        <v>32</v>
      </c>
      <c r="D26" s="16">
        <v>6</v>
      </c>
      <c r="E26" s="50" t="s">
        <v>14</v>
      </c>
      <c r="F26" s="16">
        <v>4</v>
      </c>
      <c r="G26" s="16">
        <v>0</v>
      </c>
      <c r="H26" s="56">
        <f>G26/F26</f>
        <v>0</v>
      </c>
      <c r="I26" s="16">
        <v>1</v>
      </c>
      <c r="J26" s="36">
        <v>0</v>
      </c>
      <c r="K26" s="36">
        <v>0</v>
      </c>
      <c r="L26" s="1">
        <v>0</v>
      </c>
      <c r="M26" s="21">
        <v>0</v>
      </c>
      <c r="N26" s="21">
        <v>0</v>
      </c>
      <c r="O26" s="21">
        <v>0</v>
      </c>
      <c r="P26" s="21">
        <v>0</v>
      </c>
    </row>
    <row r="27" spans="1:16" x14ac:dyDescent="0.2">
      <c r="A27" s="57">
        <v>44811</v>
      </c>
      <c r="B27" s="1">
        <v>2</v>
      </c>
      <c r="C27" s="33" t="s">
        <v>32</v>
      </c>
      <c r="D27" s="16">
        <v>6</v>
      </c>
      <c r="E27" s="50" t="s">
        <v>14</v>
      </c>
      <c r="F27" s="16">
        <v>4</v>
      </c>
      <c r="G27" s="16">
        <v>1</v>
      </c>
      <c r="H27" s="56">
        <f t="shared" si="1"/>
        <v>0.25</v>
      </c>
      <c r="I27" s="16">
        <v>3</v>
      </c>
      <c r="J27" s="36">
        <v>0</v>
      </c>
      <c r="K27" s="36">
        <v>0</v>
      </c>
      <c r="L27" s="1">
        <v>0</v>
      </c>
      <c r="M27" s="21">
        <v>0</v>
      </c>
      <c r="N27" s="21">
        <v>0</v>
      </c>
      <c r="O27" s="21">
        <v>0</v>
      </c>
      <c r="P27" s="21">
        <v>0</v>
      </c>
    </row>
    <row r="28" spans="1:16" x14ac:dyDescent="0.2">
      <c r="A28" s="57">
        <v>44816</v>
      </c>
      <c r="B28" s="1">
        <v>3</v>
      </c>
      <c r="C28" s="33" t="s">
        <v>32</v>
      </c>
      <c r="D28" s="16">
        <v>6</v>
      </c>
      <c r="E28" s="50" t="s">
        <v>14</v>
      </c>
      <c r="F28" s="16">
        <v>4</v>
      </c>
      <c r="G28" s="16">
        <v>0</v>
      </c>
      <c r="H28" s="56">
        <f>G28/F28</f>
        <v>0</v>
      </c>
      <c r="I28" s="16">
        <v>0</v>
      </c>
      <c r="J28" s="36">
        <v>0</v>
      </c>
      <c r="K28" s="36">
        <v>0</v>
      </c>
      <c r="L28" s="1">
        <v>0</v>
      </c>
      <c r="M28" s="21">
        <v>0</v>
      </c>
      <c r="N28" s="21">
        <v>0</v>
      </c>
      <c r="O28" s="21">
        <v>0</v>
      </c>
      <c r="P28" s="21">
        <v>0</v>
      </c>
    </row>
    <row r="29" spans="1:16" x14ac:dyDescent="0.2">
      <c r="A29" s="57">
        <v>44756</v>
      </c>
      <c r="B29" s="1" t="s">
        <v>127</v>
      </c>
      <c r="C29" s="33" t="s">
        <v>33</v>
      </c>
      <c r="D29" s="16">
        <v>7</v>
      </c>
      <c r="E29" s="50" t="s">
        <v>15</v>
      </c>
      <c r="F29" s="16">
        <v>3</v>
      </c>
      <c r="G29" s="33">
        <v>0</v>
      </c>
      <c r="H29" s="51">
        <f t="shared" si="1"/>
        <v>0</v>
      </c>
      <c r="I29" s="16">
        <v>0</v>
      </c>
      <c r="J29" s="36">
        <v>0</v>
      </c>
      <c r="K29" s="36">
        <v>0</v>
      </c>
      <c r="L29" s="1">
        <v>0</v>
      </c>
      <c r="M29" s="21">
        <v>0</v>
      </c>
      <c r="N29" s="21">
        <v>0</v>
      </c>
      <c r="O29" s="21">
        <v>0</v>
      </c>
      <c r="P29" s="21">
        <v>0</v>
      </c>
    </row>
    <row r="30" spans="1:16" x14ac:dyDescent="0.2">
      <c r="A30" s="57">
        <v>44764</v>
      </c>
      <c r="B30" s="1" t="s">
        <v>127</v>
      </c>
      <c r="C30" s="33" t="s">
        <v>33</v>
      </c>
      <c r="D30" s="16">
        <v>7</v>
      </c>
      <c r="E30" s="50" t="s">
        <v>15</v>
      </c>
      <c r="F30" s="16">
        <v>3</v>
      </c>
      <c r="G30" s="33">
        <v>0</v>
      </c>
      <c r="H30" s="51">
        <f t="shared" si="1"/>
        <v>0</v>
      </c>
      <c r="I30" s="16">
        <v>0</v>
      </c>
      <c r="J30" s="36">
        <v>0</v>
      </c>
      <c r="K30" s="36">
        <v>0</v>
      </c>
      <c r="L30" s="1">
        <v>0</v>
      </c>
      <c r="M30" s="21">
        <v>0</v>
      </c>
      <c r="N30" s="21">
        <v>0</v>
      </c>
      <c r="O30" s="21">
        <v>0</v>
      </c>
      <c r="P30" s="21">
        <v>0</v>
      </c>
    </row>
    <row r="31" spans="1:16" x14ac:dyDescent="0.2">
      <c r="A31" s="57">
        <v>44785</v>
      </c>
      <c r="B31" s="1" t="s">
        <v>127</v>
      </c>
      <c r="C31" s="33" t="s">
        <v>33</v>
      </c>
      <c r="D31" s="16">
        <v>7</v>
      </c>
      <c r="E31" s="50" t="s">
        <v>15</v>
      </c>
      <c r="F31" s="16">
        <v>3</v>
      </c>
      <c r="G31" s="33">
        <v>0</v>
      </c>
      <c r="H31" s="51">
        <f t="shared" si="1"/>
        <v>0</v>
      </c>
      <c r="I31" s="16">
        <v>0</v>
      </c>
      <c r="J31" s="36">
        <v>0</v>
      </c>
      <c r="K31" s="36">
        <v>0</v>
      </c>
      <c r="L31" s="1">
        <v>0</v>
      </c>
      <c r="M31" s="21">
        <v>0</v>
      </c>
      <c r="N31" s="21">
        <v>0</v>
      </c>
      <c r="O31" s="21">
        <v>0</v>
      </c>
      <c r="P31" s="21">
        <v>0</v>
      </c>
    </row>
    <row r="32" spans="1:16" x14ac:dyDescent="0.2">
      <c r="A32" s="57">
        <v>44798</v>
      </c>
      <c r="B32" s="1" t="s">
        <v>127</v>
      </c>
      <c r="C32" s="33" t="s">
        <v>33</v>
      </c>
      <c r="D32" s="16">
        <v>7</v>
      </c>
      <c r="E32" s="50" t="s">
        <v>15</v>
      </c>
      <c r="F32" s="16">
        <v>3</v>
      </c>
      <c r="G32" s="33">
        <v>0</v>
      </c>
      <c r="H32" s="51">
        <f t="shared" si="1"/>
        <v>0</v>
      </c>
      <c r="I32" s="16">
        <v>0</v>
      </c>
      <c r="J32" s="36">
        <v>0</v>
      </c>
      <c r="K32" s="36">
        <v>0</v>
      </c>
      <c r="L32" s="1">
        <v>0</v>
      </c>
      <c r="M32" s="21">
        <v>0</v>
      </c>
      <c r="N32" s="21">
        <v>0</v>
      </c>
      <c r="O32" s="21">
        <v>0</v>
      </c>
      <c r="P32" s="21">
        <v>0</v>
      </c>
    </row>
    <row r="33" spans="1:16" x14ac:dyDescent="0.2">
      <c r="A33" s="57">
        <v>44806</v>
      </c>
      <c r="B33" s="1">
        <v>1</v>
      </c>
      <c r="C33" s="33" t="s">
        <v>33</v>
      </c>
      <c r="D33" s="16">
        <v>7</v>
      </c>
      <c r="E33" s="50" t="s">
        <v>15</v>
      </c>
      <c r="F33" s="16">
        <v>3</v>
      </c>
      <c r="G33" s="33">
        <v>0</v>
      </c>
      <c r="H33" s="51">
        <f t="shared" si="1"/>
        <v>0</v>
      </c>
      <c r="I33" s="16">
        <v>0</v>
      </c>
      <c r="J33" s="36">
        <v>0</v>
      </c>
      <c r="K33" s="36">
        <v>0</v>
      </c>
      <c r="L33" s="1">
        <v>0</v>
      </c>
      <c r="M33" s="21">
        <v>0</v>
      </c>
      <c r="N33" s="21">
        <v>0</v>
      </c>
      <c r="O33" s="21">
        <v>0</v>
      </c>
      <c r="P33" s="21">
        <v>0</v>
      </c>
    </row>
    <row r="34" spans="1:16" x14ac:dyDescent="0.2">
      <c r="A34" s="57">
        <v>44813</v>
      </c>
      <c r="B34" s="1">
        <v>2</v>
      </c>
      <c r="C34" s="33" t="s">
        <v>33</v>
      </c>
      <c r="D34" s="16">
        <v>7</v>
      </c>
      <c r="E34" s="50" t="s">
        <v>15</v>
      </c>
      <c r="F34" s="16">
        <v>3</v>
      </c>
      <c r="G34" s="33">
        <v>0</v>
      </c>
      <c r="H34" s="51">
        <f t="shared" si="1"/>
        <v>0</v>
      </c>
      <c r="I34" s="16">
        <v>1</v>
      </c>
      <c r="J34" s="36">
        <v>0</v>
      </c>
      <c r="K34" s="36">
        <v>0</v>
      </c>
      <c r="L34" s="1">
        <v>0</v>
      </c>
      <c r="M34" s="21">
        <v>0</v>
      </c>
      <c r="N34" s="21">
        <v>0</v>
      </c>
      <c r="O34" s="21">
        <v>0</v>
      </c>
      <c r="P34" s="21">
        <v>0</v>
      </c>
    </row>
    <row r="35" spans="1:16" x14ac:dyDescent="0.2">
      <c r="A35" s="57">
        <v>44819</v>
      </c>
      <c r="B35" s="1">
        <v>3</v>
      </c>
      <c r="C35" s="33" t="s">
        <v>33</v>
      </c>
      <c r="D35" s="16">
        <v>7</v>
      </c>
      <c r="E35" s="50" t="s">
        <v>15</v>
      </c>
      <c r="F35" s="16">
        <v>3</v>
      </c>
      <c r="G35" s="33">
        <v>0</v>
      </c>
      <c r="H35" s="51">
        <f t="shared" ref="H35" si="4">G35/F35</f>
        <v>0</v>
      </c>
      <c r="I35" s="16">
        <v>0</v>
      </c>
      <c r="J35" s="36">
        <v>0</v>
      </c>
      <c r="K35" s="36">
        <v>0</v>
      </c>
      <c r="L35" s="1">
        <v>0</v>
      </c>
      <c r="M35" s="21">
        <v>0</v>
      </c>
      <c r="N35" s="21">
        <v>0</v>
      </c>
      <c r="O35" s="21">
        <v>0</v>
      </c>
      <c r="P35" s="21">
        <v>0</v>
      </c>
    </row>
    <row r="36" spans="1:16" x14ac:dyDescent="0.2">
      <c r="A36" s="42">
        <v>44756</v>
      </c>
      <c r="B36" s="1" t="s">
        <v>127</v>
      </c>
      <c r="C36" s="33" t="s">
        <v>34</v>
      </c>
      <c r="D36" s="16">
        <v>8</v>
      </c>
      <c r="E36" s="50" t="s">
        <v>16</v>
      </c>
      <c r="F36" s="33">
        <v>3</v>
      </c>
      <c r="G36" s="33">
        <v>0</v>
      </c>
      <c r="H36" s="51">
        <f t="shared" si="1"/>
        <v>0</v>
      </c>
      <c r="I36" s="40">
        <v>0</v>
      </c>
      <c r="J36" s="40">
        <v>1</v>
      </c>
      <c r="K36" s="40">
        <v>0</v>
      </c>
      <c r="L36" s="40">
        <v>1</v>
      </c>
      <c r="M36" s="40">
        <v>0</v>
      </c>
      <c r="N36" s="40">
        <v>0</v>
      </c>
      <c r="O36" s="40">
        <v>0</v>
      </c>
      <c r="P36" s="40">
        <v>0</v>
      </c>
    </row>
    <row r="37" spans="1:16" x14ac:dyDescent="0.2">
      <c r="A37" s="42">
        <v>44764</v>
      </c>
      <c r="B37" s="1" t="s">
        <v>127</v>
      </c>
      <c r="C37" s="33" t="s">
        <v>34</v>
      </c>
      <c r="D37" s="16">
        <v>8</v>
      </c>
      <c r="E37" s="50" t="s">
        <v>16</v>
      </c>
      <c r="F37" s="33">
        <v>3</v>
      </c>
      <c r="G37" s="33">
        <v>0</v>
      </c>
      <c r="H37" s="51">
        <f t="shared" si="1"/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40">
        <v>0</v>
      </c>
    </row>
    <row r="38" spans="1:16" x14ac:dyDescent="0.2">
      <c r="A38" s="38">
        <v>44774</v>
      </c>
      <c r="B38" s="1" t="s">
        <v>127</v>
      </c>
      <c r="C38" s="33" t="s">
        <v>34</v>
      </c>
      <c r="D38" s="16">
        <v>8</v>
      </c>
      <c r="E38" s="50" t="s">
        <v>16</v>
      </c>
      <c r="F38" s="33">
        <v>3</v>
      </c>
      <c r="G38" s="33">
        <v>0</v>
      </c>
      <c r="H38" s="51">
        <f t="shared" si="1"/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</row>
    <row r="39" spans="1:16" x14ac:dyDescent="0.2">
      <c r="A39" s="42">
        <v>44785</v>
      </c>
      <c r="B39" s="1" t="s">
        <v>127</v>
      </c>
      <c r="C39" s="33" t="s">
        <v>34</v>
      </c>
      <c r="D39" s="16">
        <v>8</v>
      </c>
      <c r="E39" s="50" t="s">
        <v>16</v>
      </c>
      <c r="F39" s="33">
        <v>3</v>
      </c>
      <c r="G39" s="33">
        <v>0</v>
      </c>
      <c r="H39" s="51">
        <f t="shared" si="1"/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v>0</v>
      </c>
    </row>
    <row r="40" spans="1:16" x14ac:dyDescent="0.2">
      <c r="A40" s="42">
        <v>44798</v>
      </c>
      <c r="B40" s="1" t="s">
        <v>127</v>
      </c>
      <c r="C40" s="33" t="s">
        <v>34</v>
      </c>
      <c r="D40" s="16">
        <v>8</v>
      </c>
      <c r="E40" s="50" t="s">
        <v>16</v>
      </c>
      <c r="F40" s="33">
        <v>3</v>
      </c>
      <c r="G40" s="33">
        <v>0</v>
      </c>
      <c r="H40" s="51">
        <f t="shared" si="1"/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</row>
    <row r="41" spans="1:16" x14ac:dyDescent="0.2">
      <c r="A41" s="42">
        <v>44806</v>
      </c>
      <c r="B41" s="1">
        <v>1</v>
      </c>
      <c r="C41" s="33" t="s">
        <v>34</v>
      </c>
      <c r="D41" s="16">
        <v>8</v>
      </c>
      <c r="E41" s="50" t="s">
        <v>16</v>
      </c>
      <c r="F41" s="33">
        <v>3</v>
      </c>
      <c r="G41" s="33">
        <v>4</v>
      </c>
      <c r="H41" s="51">
        <f t="shared" si="1"/>
        <v>1.3333333333333333</v>
      </c>
      <c r="I41" s="40">
        <v>7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  <c r="O41" s="40">
        <v>0</v>
      </c>
      <c r="P41" s="40">
        <v>0</v>
      </c>
    </row>
    <row r="42" spans="1:16" x14ac:dyDescent="0.2">
      <c r="A42" s="42">
        <v>44813</v>
      </c>
      <c r="B42" s="1">
        <v>2</v>
      </c>
      <c r="C42" s="33" t="s">
        <v>34</v>
      </c>
      <c r="D42" s="16">
        <v>8</v>
      </c>
      <c r="E42" s="50" t="s">
        <v>16</v>
      </c>
      <c r="F42" s="33">
        <v>3</v>
      </c>
      <c r="G42" s="33">
        <v>4</v>
      </c>
      <c r="H42" s="51">
        <f t="shared" si="1"/>
        <v>1.3333333333333333</v>
      </c>
      <c r="I42" s="40">
        <v>9</v>
      </c>
      <c r="J42" s="40">
        <v>6</v>
      </c>
      <c r="K42" s="40">
        <v>4</v>
      </c>
      <c r="L42" s="40">
        <v>1</v>
      </c>
      <c r="M42" s="40">
        <v>5</v>
      </c>
      <c r="N42" s="40">
        <v>1</v>
      </c>
      <c r="O42" s="40">
        <v>3</v>
      </c>
      <c r="P42" s="40">
        <v>0</v>
      </c>
    </row>
    <row r="43" spans="1:16" x14ac:dyDescent="0.2">
      <c r="A43" s="42">
        <v>44819</v>
      </c>
      <c r="B43" s="1">
        <v>3</v>
      </c>
      <c r="C43" s="33" t="s">
        <v>34</v>
      </c>
      <c r="D43" s="16">
        <v>8</v>
      </c>
      <c r="E43" s="50" t="s">
        <v>16</v>
      </c>
      <c r="F43" s="33">
        <v>3</v>
      </c>
      <c r="G43" s="33">
        <v>2</v>
      </c>
      <c r="H43" s="51">
        <f t="shared" si="1"/>
        <v>0.66666666666666663</v>
      </c>
      <c r="I43" s="40">
        <v>5</v>
      </c>
      <c r="J43" s="40">
        <v>5</v>
      </c>
      <c r="K43" s="40">
        <v>2</v>
      </c>
      <c r="L43" s="40">
        <v>2</v>
      </c>
      <c r="M43" s="40">
        <v>3</v>
      </c>
      <c r="N43" s="40">
        <v>1</v>
      </c>
      <c r="O43" s="40">
        <v>1</v>
      </c>
      <c r="P43" s="40">
        <v>0</v>
      </c>
    </row>
    <row r="44" spans="1:16" x14ac:dyDescent="0.2">
      <c r="A44" s="42">
        <v>44826</v>
      </c>
      <c r="B44" s="1">
        <v>4</v>
      </c>
      <c r="C44" s="33" t="s">
        <v>34</v>
      </c>
      <c r="D44" s="16">
        <v>8</v>
      </c>
      <c r="E44" s="50" t="s">
        <v>16</v>
      </c>
      <c r="F44" s="33">
        <v>3</v>
      </c>
      <c r="G44" s="33">
        <v>1</v>
      </c>
      <c r="H44" s="51">
        <f t="shared" si="1"/>
        <v>0.33333333333333331</v>
      </c>
      <c r="I44" s="40">
        <v>1</v>
      </c>
      <c r="J44" s="40">
        <v>1</v>
      </c>
      <c r="K44" s="40">
        <v>1</v>
      </c>
      <c r="L44" s="40">
        <v>1</v>
      </c>
      <c r="M44" s="40">
        <v>0</v>
      </c>
      <c r="N44" s="40">
        <v>0</v>
      </c>
      <c r="O44" s="40">
        <v>1</v>
      </c>
      <c r="P44" s="40">
        <v>0</v>
      </c>
    </row>
    <row r="45" spans="1:16" x14ac:dyDescent="0.2">
      <c r="A45" s="42">
        <v>44764</v>
      </c>
      <c r="B45" s="1" t="s">
        <v>127</v>
      </c>
      <c r="C45" s="33" t="s">
        <v>35</v>
      </c>
      <c r="D45" s="16">
        <v>9</v>
      </c>
      <c r="E45" s="50" t="s">
        <v>17</v>
      </c>
      <c r="F45" s="16">
        <v>4</v>
      </c>
      <c r="G45" s="33">
        <v>0</v>
      </c>
      <c r="H45" s="51">
        <f t="shared" si="1"/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40">
        <v>0</v>
      </c>
    </row>
    <row r="46" spans="1:16" x14ac:dyDescent="0.2">
      <c r="A46" s="42">
        <v>44774</v>
      </c>
      <c r="B46" s="1" t="s">
        <v>127</v>
      </c>
      <c r="C46" s="33" t="s">
        <v>35</v>
      </c>
      <c r="D46" s="16">
        <v>9</v>
      </c>
      <c r="E46" s="50" t="s">
        <v>17</v>
      </c>
      <c r="F46" s="16">
        <v>4</v>
      </c>
      <c r="G46" s="33">
        <v>0</v>
      </c>
      <c r="H46" s="51">
        <f t="shared" si="1"/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</row>
    <row r="47" spans="1:16" x14ac:dyDescent="0.2">
      <c r="A47" s="42">
        <v>44785</v>
      </c>
      <c r="B47" s="1" t="s">
        <v>127</v>
      </c>
      <c r="C47" s="33" t="s">
        <v>35</v>
      </c>
      <c r="D47" s="16">
        <v>9</v>
      </c>
      <c r="E47" s="50" t="s">
        <v>17</v>
      </c>
      <c r="F47" s="16">
        <v>4</v>
      </c>
      <c r="G47" s="33">
        <v>0</v>
      </c>
      <c r="H47" s="51">
        <f t="shared" si="1"/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  <c r="P47" s="40">
        <v>0</v>
      </c>
    </row>
    <row r="48" spans="1:16" x14ac:dyDescent="0.2">
      <c r="A48" s="42">
        <v>44806</v>
      </c>
      <c r="B48" s="1">
        <v>1</v>
      </c>
      <c r="C48" s="33" t="s">
        <v>35</v>
      </c>
      <c r="D48" s="16">
        <v>9</v>
      </c>
      <c r="E48" s="50" t="s">
        <v>17</v>
      </c>
      <c r="F48" s="16">
        <v>4</v>
      </c>
      <c r="G48" s="33">
        <v>0</v>
      </c>
      <c r="H48" s="51">
        <f t="shared" si="1"/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</row>
    <row r="49" spans="1:17" x14ac:dyDescent="0.2">
      <c r="A49" s="42">
        <v>44813</v>
      </c>
      <c r="B49" s="1">
        <v>2</v>
      </c>
      <c r="C49" s="33" t="s">
        <v>35</v>
      </c>
      <c r="D49" s="16">
        <v>9</v>
      </c>
      <c r="E49" s="50" t="s">
        <v>17</v>
      </c>
      <c r="F49" s="16">
        <v>4</v>
      </c>
      <c r="G49" s="33">
        <v>3</v>
      </c>
      <c r="H49" s="51">
        <f t="shared" si="1"/>
        <v>0.75</v>
      </c>
      <c r="I49" s="40">
        <v>5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</row>
    <row r="50" spans="1:17" x14ac:dyDescent="0.2">
      <c r="A50" s="42">
        <v>44819</v>
      </c>
      <c r="B50" s="1">
        <v>3</v>
      </c>
      <c r="C50" s="33" t="s">
        <v>35</v>
      </c>
      <c r="D50" s="16">
        <v>9</v>
      </c>
      <c r="E50" s="50" t="s">
        <v>17</v>
      </c>
      <c r="F50" s="16">
        <v>4</v>
      </c>
      <c r="G50" s="33">
        <v>1</v>
      </c>
      <c r="H50" s="51">
        <f t="shared" si="1"/>
        <v>0.25</v>
      </c>
      <c r="I50" s="40">
        <v>1</v>
      </c>
      <c r="J50" s="40">
        <v>0</v>
      </c>
      <c r="K50" s="40">
        <v>2</v>
      </c>
      <c r="L50" s="40">
        <v>0</v>
      </c>
      <c r="M50" s="40">
        <v>0</v>
      </c>
      <c r="N50" s="40">
        <v>0</v>
      </c>
      <c r="O50" s="40">
        <v>2</v>
      </c>
      <c r="P50" s="40">
        <v>0</v>
      </c>
    </row>
    <row r="51" spans="1:17" x14ac:dyDescent="0.2">
      <c r="A51" s="42">
        <v>44826</v>
      </c>
      <c r="B51" s="1">
        <v>4</v>
      </c>
      <c r="C51" s="33" t="s">
        <v>35</v>
      </c>
      <c r="D51" s="16">
        <v>9</v>
      </c>
      <c r="E51" s="50" t="s">
        <v>17</v>
      </c>
      <c r="F51" s="16">
        <v>4</v>
      </c>
      <c r="G51" s="33">
        <v>0</v>
      </c>
      <c r="H51" s="51">
        <f t="shared" si="1"/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</row>
    <row r="52" spans="1:17" x14ac:dyDescent="0.2">
      <c r="A52" s="42">
        <v>44806</v>
      </c>
      <c r="B52" s="1">
        <v>1</v>
      </c>
      <c r="C52" s="33" t="s">
        <v>36</v>
      </c>
      <c r="D52" s="16">
        <v>10</v>
      </c>
      <c r="E52" s="50" t="s">
        <v>18</v>
      </c>
      <c r="F52" s="46">
        <v>5</v>
      </c>
      <c r="G52" s="33">
        <v>1</v>
      </c>
      <c r="H52" s="51">
        <f t="shared" si="1"/>
        <v>0.2</v>
      </c>
      <c r="I52" s="40">
        <v>2</v>
      </c>
      <c r="J52" s="40">
        <v>1</v>
      </c>
      <c r="K52" s="40">
        <v>0</v>
      </c>
      <c r="L52" s="40">
        <v>0</v>
      </c>
      <c r="M52" s="33">
        <v>1</v>
      </c>
      <c r="N52" s="40">
        <v>0</v>
      </c>
      <c r="O52" s="40">
        <v>0</v>
      </c>
      <c r="P52" s="40">
        <v>0</v>
      </c>
    </row>
    <row r="53" spans="1:17" x14ac:dyDescent="0.2">
      <c r="A53" s="42">
        <v>44813</v>
      </c>
      <c r="B53" s="1">
        <v>2</v>
      </c>
      <c r="C53" s="33" t="s">
        <v>36</v>
      </c>
      <c r="D53" s="16">
        <v>10</v>
      </c>
      <c r="E53" s="50" t="s">
        <v>18</v>
      </c>
      <c r="F53" s="46">
        <v>5</v>
      </c>
      <c r="G53" s="33">
        <v>0</v>
      </c>
      <c r="H53" s="51">
        <f t="shared" si="1"/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s="40">
        <v>0</v>
      </c>
    </row>
    <row r="54" spans="1:17" x14ac:dyDescent="0.2">
      <c r="A54" s="42">
        <v>44820</v>
      </c>
      <c r="B54" s="1">
        <v>3</v>
      </c>
      <c r="C54" s="33" t="s">
        <v>36</v>
      </c>
      <c r="D54" s="16">
        <v>10</v>
      </c>
      <c r="E54" s="50" t="s">
        <v>18</v>
      </c>
      <c r="F54" s="46">
        <v>5</v>
      </c>
      <c r="G54" s="33">
        <v>1</v>
      </c>
      <c r="H54" s="51">
        <f t="shared" si="1"/>
        <v>0.2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</row>
    <row r="55" spans="1:17" x14ac:dyDescent="0.2">
      <c r="A55" s="42">
        <v>44820</v>
      </c>
      <c r="B55" s="1">
        <v>1</v>
      </c>
      <c r="C55" s="33" t="s">
        <v>37</v>
      </c>
      <c r="D55" s="16">
        <v>11</v>
      </c>
      <c r="E55" s="50" t="s">
        <v>19</v>
      </c>
      <c r="F55" s="16">
        <v>4</v>
      </c>
      <c r="G55" s="33">
        <v>0</v>
      </c>
      <c r="H55" s="51">
        <f t="shared" si="1"/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0">
        <v>0</v>
      </c>
      <c r="P55" s="40">
        <v>0</v>
      </c>
    </row>
    <row r="56" spans="1:17" x14ac:dyDescent="0.2">
      <c r="A56" s="42">
        <v>44819</v>
      </c>
      <c r="B56" s="1">
        <v>1</v>
      </c>
      <c r="C56" s="33" t="s">
        <v>38</v>
      </c>
      <c r="D56" s="16">
        <v>12</v>
      </c>
      <c r="E56" s="50" t="s">
        <v>20</v>
      </c>
      <c r="F56" s="46">
        <v>3</v>
      </c>
      <c r="G56" s="33">
        <v>0</v>
      </c>
      <c r="H56" s="51">
        <f t="shared" si="1"/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</row>
    <row r="57" spans="1:17" x14ac:dyDescent="0.2">
      <c r="A57" s="42">
        <v>44819</v>
      </c>
      <c r="B57" s="1">
        <v>1</v>
      </c>
      <c r="C57" s="33" t="s">
        <v>124</v>
      </c>
      <c r="D57" s="16">
        <v>13</v>
      </c>
      <c r="E57" s="50" t="s">
        <v>21</v>
      </c>
      <c r="F57" s="16">
        <v>3</v>
      </c>
      <c r="G57" s="33">
        <v>1</v>
      </c>
      <c r="H57" s="51">
        <f t="shared" si="1"/>
        <v>0.33333333333333331</v>
      </c>
      <c r="I57" s="40">
        <v>1</v>
      </c>
      <c r="J57" s="40">
        <v>1</v>
      </c>
      <c r="K57" s="40">
        <v>0</v>
      </c>
      <c r="L57" s="40">
        <v>0</v>
      </c>
      <c r="M57" s="40">
        <v>1</v>
      </c>
      <c r="N57" s="40">
        <v>0</v>
      </c>
      <c r="O57" s="40">
        <v>0</v>
      </c>
      <c r="P57" s="40">
        <v>0</v>
      </c>
    </row>
    <row r="58" spans="1:17" x14ac:dyDescent="0.2">
      <c r="A58" s="42">
        <v>44819</v>
      </c>
      <c r="B58" s="1">
        <v>1</v>
      </c>
      <c r="C58" s="33" t="s">
        <v>123</v>
      </c>
      <c r="D58" s="16">
        <v>14</v>
      </c>
      <c r="E58" s="50" t="s">
        <v>22</v>
      </c>
      <c r="F58" s="16">
        <v>3</v>
      </c>
      <c r="G58" s="33">
        <v>0</v>
      </c>
      <c r="H58" s="51">
        <f t="shared" si="1"/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</row>
    <row r="59" spans="1:17" x14ac:dyDescent="0.2">
      <c r="A59" s="42">
        <v>44827</v>
      </c>
      <c r="B59" s="40">
        <v>1</v>
      </c>
      <c r="C59" s="33" t="s">
        <v>40</v>
      </c>
      <c r="D59" s="16">
        <v>15</v>
      </c>
      <c r="E59" s="50" t="s">
        <v>125</v>
      </c>
      <c r="F59" s="16">
        <v>6</v>
      </c>
      <c r="G59" s="33">
        <v>0</v>
      </c>
      <c r="H59" s="51">
        <f t="shared" si="1"/>
        <v>0</v>
      </c>
      <c r="I59" s="40">
        <v>1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</row>
    <row r="60" spans="1:17" x14ac:dyDescent="0.2">
      <c r="A60" s="42">
        <v>44827</v>
      </c>
      <c r="B60" s="40">
        <v>1</v>
      </c>
      <c r="C60" s="33" t="s">
        <v>129</v>
      </c>
      <c r="D60" s="33">
        <v>16</v>
      </c>
      <c r="E60" s="50" t="s">
        <v>128</v>
      </c>
      <c r="F60" s="1">
        <v>6</v>
      </c>
      <c r="G60" s="33">
        <v>0</v>
      </c>
      <c r="H60" s="51">
        <f t="shared" si="1"/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</row>
    <row r="61" spans="1:17" x14ac:dyDescent="0.2">
      <c r="A61" s="42">
        <v>44827</v>
      </c>
      <c r="B61" s="40">
        <v>1</v>
      </c>
      <c r="C61" s="16" t="s">
        <v>131</v>
      </c>
      <c r="D61" s="16">
        <v>17</v>
      </c>
      <c r="E61" s="50" t="s">
        <v>130</v>
      </c>
      <c r="F61" s="1">
        <v>2</v>
      </c>
      <c r="G61" s="33">
        <v>0</v>
      </c>
      <c r="H61" s="51">
        <f t="shared" si="1"/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</row>
    <row r="62" spans="1:17" x14ac:dyDescent="0.2">
      <c r="A62" s="42">
        <v>44827</v>
      </c>
      <c r="B62" s="40">
        <v>1</v>
      </c>
      <c r="C62" s="16" t="s">
        <v>133</v>
      </c>
      <c r="D62" s="16">
        <v>18</v>
      </c>
      <c r="E62" s="50" t="s">
        <v>132</v>
      </c>
      <c r="F62" s="1">
        <v>3</v>
      </c>
      <c r="G62" s="33">
        <v>0</v>
      </c>
      <c r="H62" s="51">
        <f t="shared" si="1"/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</row>
    <row r="63" spans="1:17" x14ac:dyDescent="0.2">
      <c r="A63" s="42">
        <v>44832</v>
      </c>
      <c r="B63" s="40">
        <v>1</v>
      </c>
      <c r="C63" s="16" t="s">
        <v>143</v>
      </c>
      <c r="D63" s="16">
        <v>19</v>
      </c>
      <c r="E63" s="50" t="s">
        <v>141</v>
      </c>
      <c r="F63" s="1">
        <v>4</v>
      </c>
      <c r="G63" s="33">
        <v>0</v>
      </c>
      <c r="H63" s="51">
        <f t="shared" si="1"/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  <c r="P63" s="40">
        <v>0</v>
      </c>
      <c r="Q63" s="40"/>
    </row>
    <row r="64" spans="1:17" x14ac:dyDescent="0.2">
      <c r="A64" s="42">
        <v>44833</v>
      </c>
      <c r="B64" s="40">
        <v>1</v>
      </c>
      <c r="C64" s="16" t="s">
        <v>144</v>
      </c>
      <c r="D64" s="16">
        <v>20</v>
      </c>
      <c r="E64" s="50" t="s">
        <v>142</v>
      </c>
      <c r="F64" s="1">
        <v>4</v>
      </c>
      <c r="G64" s="33">
        <v>0</v>
      </c>
      <c r="H64" s="51">
        <f t="shared" si="1"/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</row>
    <row r="65" spans="1:16" x14ac:dyDescent="0.2">
      <c r="A65" s="42">
        <v>44831</v>
      </c>
      <c r="B65" s="40">
        <v>1</v>
      </c>
      <c r="C65" s="16" t="s">
        <v>136</v>
      </c>
      <c r="D65" s="16">
        <v>21</v>
      </c>
      <c r="E65" s="50" t="s">
        <v>134</v>
      </c>
      <c r="F65" s="1">
        <v>3</v>
      </c>
      <c r="G65" s="33">
        <v>0</v>
      </c>
      <c r="H65" s="51">
        <f t="shared" si="1"/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40">
        <v>0</v>
      </c>
      <c r="P65" s="40">
        <v>0</v>
      </c>
    </row>
    <row r="66" spans="1:16" ht="13.5" thickBot="1" x14ac:dyDescent="0.25">
      <c r="A66" s="42">
        <v>44831</v>
      </c>
      <c r="B66" s="40">
        <v>1</v>
      </c>
      <c r="C66" s="16" t="s">
        <v>137</v>
      </c>
      <c r="D66" s="16">
        <v>22</v>
      </c>
      <c r="E66" s="50" t="s">
        <v>135</v>
      </c>
      <c r="F66" s="4">
        <v>4</v>
      </c>
      <c r="G66" s="59">
        <v>0</v>
      </c>
      <c r="H66" s="60">
        <f t="shared" si="1"/>
        <v>0</v>
      </c>
      <c r="I66" s="61">
        <v>0</v>
      </c>
      <c r="J66" s="61">
        <v>0</v>
      </c>
      <c r="K66" s="61">
        <v>0</v>
      </c>
      <c r="L66" s="61">
        <v>0</v>
      </c>
      <c r="M66" s="61">
        <v>0</v>
      </c>
      <c r="N66" s="61">
        <v>0</v>
      </c>
      <c r="O66" s="61">
        <v>0</v>
      </c>
      <c r="P66" s="61">
        <v>0</v>
      </c>
    </row>
    <row r="67" spans="1:16" x14ac:dyDescent="0.2">
      <c r="A67" s="42"/>
      <c r="F67" s="2">
        <f>SUM(F4:F66)</f>
        <v>224</v>
      </c>
      <c r="G67" s="2">
        <f>SUM(G4:G66)</f>
        <v>41</v>
      </c>
      <c r="H67" s="74">
        <f t="shared" si="1"/>
        <v>0.18303571428571427</v>
      </c>
      <c r="I67" s="2">
        <f>SUM(I4:I66)</f>
        <v>66</v>
      </c>
      <c r="J67" s="2">
        <f t="shared" ref="J67:P67" si="5">SUM(J4:J66)</f>
        <v>16</v>
      </c>
      <c r="K67" s="2">
        <f t="shared" si="5"/>
        <v>17</v>
      </c>
      <c r="L67" s="2">
        <f t="shared" si="5"/>
        <v>6</v>
      </c>
      <c r="M67" s="2">
        <f t="shared" si="5"/>
        <v>10</v>
      </c>
      <c r="N67" s="2">
        <f t="shared" si="5"/>
        <v>3</v>
      </c>
      <c r="O67" s="2">
        <f t="shared" si="5"/>
        <v>14</v>
      </c>
      <c r="P67" s="2">
        <f t="shared" si="5"/>
        <v>0</v>
      </c>
    </row>
    <row r="68" spans="1:16" x14ac:dyDescent="0.2">
      <c r="A68" s="42"/>
      <c r="H68" s="1"/>
    </row>
    <row r="69" spans="1:16" x14ac:dyDescent="0.2">
      <c r="A69" s="42"/>
      <c r="H69" s="1"/>
    </row>
    <row r="70" spans="1:16" ht="20.25" x14ac:dyDescent="0.3">
      <c r="A70" s="42"/>
      <c r="B70" s="71"/>
      <c r="C70" s="71"/>
      <c r="D70" s="71"/>
      <c r="E70" s="72"/>
      <c r="F70" s="71"/>
      <c r="G70" s="71"/>
      <c r="H70" s="71"/>
      <c r="I70" s="71"/>
    </row>
    <row r="71" spans="1:16" x14ac:dyDescent="0.2">
      <c r="A71" s="42"/>
      <c r="H71" s="1"/>
    </row>
    <row r="72" spans="1:16" x14ac:dyDescent="0.2">
      <c r="A72" s="42"/>
      <c r="H72" s="1"/>
    </row>
    <row r="73" spans="1:16" x14ac:dyDescent="0.2">
      <c r="A73" s="42"/>
      <c r="H73" s="1"/>
    </row>
    <row r="74" spans="1:16" x14ac:dyDescent="0.2">
      <c r="A74" s="42"/>
      <c r="H74" s="1"/>
    </row>
    <row r="75" spans="1:16" x14ac:dyDescent="0.2">
      <c r="A75" s="42"/>
      <c r="H75" s="1"/>
    </row>
    <row r="76" spans="1:16" x14ac:dyDescent="0.2">
      <c r="A76" s="42"/>
      <c r="H76" s="1"/>
    </row>
    <row r="77" spans="1:16" x14ac:dyDescent="0.2">
      <c r="A77" s="42"/>
      <c r="H77" s="1"/>
    </row>
    <row r="78" spans="1:16" x14ac:dyDescent="0.2">
      <c r="A78" s="42"/>
      <c r="H78" s="1"/>
    </row>
    <row r="79" spans="1:16" x14ac:dyDescent="0.2">
      <c r="A79" s="42"/>
      <c r="H79" s="1"/>
    </row>
    <row r="80" spans="1:16" x14ac:dyDescent="0.2">
      <c r="A80" s="42"/>
      <c r="H80" s="1"/>
    </row>
    <row r="81" spans="1:8" x14ac:dyDescent="0.2">
      <c r="A81" s="42"/>
      <c r="H81" s="1"/>
    </row>
    <row r="82" spans="1:8" x14ac:dyDescent="0.2">
      <c r="A82" s="42"/>
      <c r="H82" s="1"/>
    </row>
    <row r="83" spans="1:8" x14ac:dyDescent="0.2">
      <c r="A83" s="42"/>
      <c r="H83" s="1"/>
    </row>
    <row r="84" spans="1:8" x14ac:dyDescent="0.2">
      <c r="A84" s="42"/>
      <c r="H84" s="1"/>
    </row>
    <row r="85" spans="1:8" x14ac:dyDescent="0.2">
      <c r="A85" s="42"/>
      <c r="H85" s="1"/>
    </row>
    <row r="86" spans="1:8" x14ac:dyDescent="0.2">
      <c r="A86" s="42"/>
      <c r="H86" s="1"/>
    </row>
    <row r="87" spans="1:8" x14ac:dyDescent="0.2">
      <c r="A87" s="42"/>
      <c r="H87" s="1"/>
    </row>
    <row r="88" spans="1:8" x14ac:dyDescent="0.2">
      <c r="A88" s="42"/>
      <c r="H88" s="1"/>
    </row>
    <row r="89" spans="1:8" x14ac:dyDescent="0.2">
      <c r="A89" s="42"/>
      <c r="H89" s="1"/>
    </row>
    <row r="90" spans="1:8" x14ac:dyDescent="0.2">
      <c r="A90" s="42"/>
      <c r="H90" s="1"/>
    </row>
    <row r="91" spans="1:8" x14ac:dyDescent="0.2">
      <c r="A91" s="42"/>
      <c r="H91" s="1"/>
    </row>
    <row r="92" spans="1:8" x14ac:dyDescent="0.2">
      <c r="A92" s="42"/>
      <c r="H92" s="1"/>
    </row>
    <row r="93" spans="1:8" x14ac:dyDescent="0.2">
      <c r="A93" s="42"/>
      <c r="H93" s="1"/>
    </row>
    <row r="94" spans="1:8" x14ac:dyDescent="0.2">
      <c r="A94" s="42"/>
      <c r="H94" s="1"/>
    </row>
    <row r="95" spans="1:8" x14ac:dyDescent="0.2">
      <c r="A95" s="42"/>
      <c r="H95" s="1"/>
    </row>
    <row r="96" spans="1:8" x14ac:dyDescent="0.2">
      <c r="A96" s="42"/>
      <c r="H96" s="1"/>
    </row>
    <row r="97" spans="1:8" x14ac:dyDescent="0.2">
      <c r="A97" s="42"/>
      <c r="H97" s="1"/>
    </row>
    <row r="98" spans="1:8" x14ac:dyDescent="0.2">
      <c r="A98" s="42"/>
      <c r="H98" s="1"/>
    </row>
    <row r="99" spans="1:8" x14ac:dyDescent="0.2">
      <c r="A99" s="42"/>
      <c r="H99" s="1"/>
    </row>
    <row r="100" spans="1:8" x14ac:dyDescent="0.2">
      <c r="A100" s="42"/>
      <c r="H100" s="1"/>
    </row>
    <row r="101" spans="1:8" x14ac:dyDescent="0.2">
      <c r="A101" s="42"/>
      <c r="H101" s="1"/>
    </row>
    <row r="102" spans="1:8" x14ac:dyDescent="0.2">
      <c r="A102" s="42"/>
      <c r="H102" s="1"/>
    </row>
    <row r="103" spans="1:8" x14ac:dyDescent="0.2">
      <c r="A103" s="42"/>
      <c r="H103" s="1"/>
    </row>
    <row r="104" spans="1:8" x14ac:dyDescent="0.2">
      <c r="A104" s="42"/>
      <c r="H104" s="1"/>
    </row>
    <row r="105" spans="1:8" x14ac:dyDescent="0.2">
      <c r="A105" s="42"/>
      <c r="H105" s="1"/>
    </row>
    <row r="106" spans="1:8" x14ac:dyDescent="0.2">
      <c r="A106" s="42"/>
      <c r="H106" s="1"/>
    </row>
    <row r="107" spans="1:8" x14ac:dyDescent="0.2">
      <c r="A107" s="42"/>
      <c r="H107" s="1"/>
    </row>
    <row r="108" spans="1:8" x14ac:dyDescent="0.2">
      <c r="A108" s="42"/>
      <c r="H108" s="1"/>
    </row>
    <row r="109" spans="1:8" x14ac:dyDescent="0.2">
      <c r="A109" s="42"/>
      <c r="H109" s="1"/>
    </row>
    <row r="110" spans="1:8" x14ac:dyDescent="0.2">
      <c r="A110" s="42"/>
      <c r="H110" s="1"/>
    </row>
    <row r="111" spans="1:8" x14ac:dyDescent="0.2">
      <c r="A111" s="42"/>
      <c r="H111" s="1"/>
    </row>
    <row r="112" spans="1:8" x14ac:dyDescent="0.2">
      <c r="A112" s="42"/>
      <c r="H112" s="1"/>
    </row>
    <row r="113" spans="1:8" x14ac:dyDescent="0.2">
      <c r="A113" s="42"/>
      <c r="H113" s="1"/>
    </row>
    <row r="114" spans="1:8" x14ac:dyDescent="0.2">
      <c r="A114" s="42"/>
      <c r="H114" s="1"/>
    </row>
    <row r="115" spans="1:8" x14ac:dyDescent="0.2">
      <c r="A115" s="42"/>
      <c r="H115" s="1"/>
    </row>
    <row r="116" spans="1:8" x14ac:dyDescent="0.2">
      <c r="A116" s="42"/>
      <c r="H116" s="1"/>
    </row>
    <row r="117" spans="1:8" x14ac:dyDescent="0.2">
      <c r="A117" s="42"/>
      <c r="H117" s="1"/>
    </row>
    <row r="118" spans="1:8" x14ac:dyDescent="0.2">
      <c r="A118" s="42"/>
      <c r="H118" s="1"/>
    </row>
    <row r="119" spans="1:8" x14ac:dyDescent="0.2">
      <c r="A119" s="42"/>
      <c r="H119" s="1"/>
    </row>
    <row r="120" spans="1:8" x14ac:dyDescent="0.2">
      <c r="A120" s="42"/>
      <c r="H120" s="1"/>
    </row>
    <row r="121" spans="1:8" x14ac:dyDescent="0.2">
      <c r="A121" s="42"/>
      <c r="H121" s="1"/>
    </row>
    <row r="122" spans="1:8" x14ac:dyDescent="0.2">
      <c r="A122" s="42"/>
      <c r="H122" s="1"/>
    </row>
    <row r="123" spans="1:8" x14ac:dyDescent="0.2">
      <c r="A123" s="42"/>
      <c r="H123" s="1"/>
    </row>
    <row r="124" spans="1:8" x14ac:dyDescent="0.2">
      <c r="A124" s="42"/>
      <c r="H124" s="1"/>
    </row>
    <row r="125" spans="1:8" x14ac:dyDescent="0.2">
      <c r="A125" s="42"/>
      <c r="H125" s="1"/>
    </row>
    <row r="126" spans="1:8" x14ac:dyDescent="0.2">
      <c r="A126" s="42"/>
      <c r="H126" s="1"/>
    </row>
    <row r="127" spans="1:8" x14ac:dyDescent="0.2">
      <c r="A127" s="42"/>
      <c r="H127" s="1"/>
    </row>
    <row r="128" spans="1:8" x14ac:dyDescent="0.2">
      <c r="A128" s="42"/>
      <c r="H128" s="1"/>
    </row>
  </sheetData>
  <pageMargins left="0.7" right="0.7" top="0.75" bottom="0.75" header="0.3" footer="0.3"/>
  <pageSetup orientation="portrait" r:id="rId1"/>
  <ignoredErrors>
    <ignoredError sqref="H6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5"/>
  <sheetViews>
    <sheetView workbookViewId="0">
      <pane ySplit="3" topLeftCell="A14" activePane="bottomLeft" state="frozen"/>
      <selection pane="bottomLeft" activeCell="G18" sqref="G18:G53"/>
    </sheetView>
  </sheetViews>
  <sheetFormatPr defaultRowHeight="12.75" x14ac:dyDescent="0.2"/>
  <cols>
    <col min="1" max="1" width="10.42578125" customWidth="1"/>
    <col min="5" max="5" width="38.28515625" customWidth="1"/>
    <col min="6" max="6" width="10.140625" customWidth="1"/>
    <col min="16" max="16" width="17.42578125" customWidth="1"/>
  </cols>
  <sheetData>
    <row r="1" spans="1:16" x14ac:dyDescent="0.2">
      <c r="A1" s="2"/>
      <c r="B1" s="2"/>
      <c r="C1" s="2"/>
      <c r="D1" s="2"/>
      <c r="E1" s="2"/>
      <c r="I1" s="3" t="s">
        <v>24</v>
      </c>
      <c r="J1" s="3"/>
      <c r="K1" s="3"/>
    </row>
    <row r="2" spans="1:16" x14ac:dyDescent="0.2">
      <c r="D2" s="2" t="s">
        <v>113</v>
      </c>
      <c r="F2" s="2" t="s">
        <v>4</v>
      </c>
      <c r="G2" s="2" t="s">
        <v>140</v>
      </c>
      <c r="H2" s="2" t="s">
        <v>3</v>
      </c>
      <c r="J2" s="2" t="s">
        <v>8</v>
      </c>
      <c r="K2" s="2"/>
      <c r="P2" s="21" t="s">
        <v>154</v>
      </c>
    </row>
    <row r="3" spans="1:16" ht="13.5" thickBot="1" x14ac:dyDescent="0.25">
      <c r="A3" s="2" t="s">
        <v>0</v>
      </c>
      <c r="B3" s="2" t="s">
        <v>1</v>
      </c>
      <c r="C3" s="2" t="s">
        <v>108</v>
      </c>
      <c r="D3" s="2" t="s">
        <v>114</v>
      </c>
      <c r="E3" s="2" t="s">
        <v>2</v>
      </c>
      <c r="F3" s="2" t="s">
        <v>26</v>
      </c>
      <c r="G3" s="2" t="s">
        <v>3</v>
      </c>
      <c r="H3" s="2" t="s">
        <v>73</v>
      </c>
      <c r="I3" s="2" t="s">
        <v>5</v>
      </c>
      <c r="J3" s="4" t="s">
        <v>6</v>
      </c>
      <c r="K3" s="4" t="s">
        <v>7</v>
      </c>
      <c r="L3" s="1" t="s">
        <v>109</v>
      </c>
      <c r="M3" s="21" t="s">
        <v>110</v>
      </c>
      <c r="N3" s="21" t="s">
        <v>111</v>
      </c>
      <c r="O3" s="21" t="s">
        <v>112</v>
      </c>
      <c r="P3" s="21" t="s">
        <v>155</v>
      </c>
    </row>
    <row r="4" spans="1:16" x14ac:dyDescent="0.2">
      <c r="A4" s="57">
        <v>44447</v>
      </c>
      <c r="B4" s="1">
        <v>1</v>
      </c>
      <c r="C4" s="33" t="s">
        <v>29</v>
      </c>
      <c r="D4" s="16">
        <v>3</v>
      </c>
      <c r="E4" s="50" t="s">
        <v>11</v>
      </c>
      <c r="F4" s="16">
        <v>2</v>
      </c>
      <c r="G4" s="16">
        <v>0</v>
      </c>
      <c r="H4" s="56">
        <f t="shared" ref="H4:H35" si="0">G4/F4</f>
        <v>0</v>
      </c>
      <c r="I4" s="16">
        <v>0</v>
      </c>
      <c r="J4" s="36">
        <v>0</v>
      </c>
      <c r="K4" s="36">
        <v>0</v>
      </c>
      <c r="L4" s="1">
        <v>0</v>
      </c>
      <c r="M4" s="21">
        <v>0</v>
      </c>
      <c r="N4" s="21">
        <v>0</v>
      </c>
      <c r="O4" s="21">
        <v>0</v>
      </c>
      <c r="P4" s="21">
        <v>0</v>
      </c>
    </row>
    <row r="5" spans="1:16" x14ac:dyDescent="0.2">
      <c r="A5" s="57">
        <v>44447</v>
      </c>
      <c r="B5" s="1">
        <v>1</v>
      </c>
      <c r="C5" s="33" t="s">
        <v>30</v>
      </c>
      <c r="D5" s="16">
        <v>4</v>
      </c>
      <c r="E5" s="50" t="s">
        <v>12</v>
      </c>
      <c r="F5" s="16">
        <v>5</v>
      </c>
      <c r="G5" s="16">
        <v>0</v>
      </c>
      <c r="H5" s="56">
        <f t="shared" si="0"/>
        <v>0</v>
      </c>
      <c r="I5" s="16">
        <v>0</v>
      </c>
      <c r="J5" s="36">
        <v>0</v>
      </c>
      <c r="K5" s="36">
        <v>0</v>
      </c>
      <c r="L5" s="1">
        <v>0</v>
      </c>
      <c r="M5" s="21">
        <v>0</v>
      </c>
      <c r="N5" s="21">
        <v>0</v>
      </c>
      <c r="O5" s="21">
        <v>0</v>
      </c>
      <c r="P5" s="21">
        <v>0</v>
      </c>
    </row>
    <row r="6" spans="1:16" x14ac:dyDescent="0.2">
      <c r="A6" s="57">
        <v>44447</v>
      </c>
      <c r="B6" s="1">
        <v>1</v>
      </c>
      <c r="C6" s="33" t="s">
        <v>31</v>
      </c>
      <c r="D6" s="16">
        <v>5</v>
      </c>
      <c r="E6" s="50" t="s">
        <v>159</v>
      </c>
      <c r="F6" s="16">
        <v>2</v>
      </c>
      <c r="G6" s="16">
        <v>0</v>
      </c>
      <c r="H6" s="56">
        <f t="shared" si="0"/>
        <v>0</v>
      </c>
      <c r="I6" s="16">
        <v>0</v>
      </c>
      <c r="J6" s="36">
        <v>0</v>
      </c>
      <c r="K6" s="36">
        <v>0</v>
      </c>
      <c r="L6" s="1">
        <v>0</v>
      </c>
      <c r="M6" s="21">
        <v>0</v>
      </c>
      <c r="N6" s="21">
        <v>0</v>
      </c>
      <c r="O6" s="21">
        <v>0</v>
      </c>
      <c r="P6" s="21">
        <v>0</v>
      </c>
    </row>
    <row r="7" spans="1:16" x14ac:dyDescent="0.2">
      <c r="A7" s="57">
        <v>44455</v>
      </c>
      <c r="B7" s="1">
        <v>2</v>
      </c>
      <c r="C7" s="33" t="s">
        <v>31</v>
      </c>
      <c r="D7" s="16">
        <v>5</v>
      </c>
      <c r="E7" s="50" t="s">
        <v>159</v>
      </c>
      <c r="F7" s="16">
        <v>2</v>
      </c>
      <c r="G7" s="16">
        <v>0</v>
      </c>
      <c r="H7" s="56">
        <f t="shared" si="0"/>
        <v>0</v>
      </c>
      <c r="I7" s="16">
        <v>0</v>
      </c>
      <c r="J7" s="36">
        <v>0</v>
      </c>
      <c r="K7" s="36">
        <v>0</v>
      </c>
      <c r="L7" s="1">
        <v>0</v>
      </c>
      <c r="M7" s="21">
        <v>0</v>
      </c>
      <c r="N7" s="21">
        <v>0</v>
      </c>
      <c r="O7" s="21">
        <v>0</v>
      </c>
      <c r="P7" s="21">
        <v>0</v>
      </c>
    </row>
    <row r="8" spans="1:16" x14ac:dyDescent="0.2">
      <c r="A8" s="57">
        <v>44461</v>
      </c>
      <c r="B8" s="1">
        <v>3</v>
      </c>
      <c r="C8" s="33" t="s">
        <v>31</v>
      </c>
      <c r="D8" s="16">
        <v>5</v>
      </c>
      <c r="E8" s="50" t="s">
        <v>159</v>
      </c>
      <c r="F8" s="16">
        <v>2</v>
      </c>
      <c r="G8" s="16">
        <v>0</v>
      </c>
      <c r="H8" s="56">
        <f t="shared" si="0"/>
        <v>0</v>
      </c>
      <c r="I8" s="16">
        <v>0</v>
      </c>
      <c r="J8" s="36">
        <v>0</v>
      </c>
      <c r="K8" s="36">
        <v>0</v>
      </c>
      <c r="L8" s="1">
        <v>0</v>
      </c>
      <c r="M8" s="21">
        <v>0</v>
      </c>
      <c r="N8" s="21">
        <v>0</v>
      </c>
      <c r="O8" s="21">
        <v>0</v>
      </c>
      <c r="P8" s="21">
        <v>0</v>
      </c>
    </row>
    <row r="9" spans="1:16" x14ac:dyDescent="0.2">
      <c r="A9" s="57">
        <v>44447</v>
      </c>
      <c r="B9" s="1">
        <v>1</v>
      </c>
      <c r="C9" s="33" t="s">
        <v>32</v>
      </c>
      <c r="D9" s="16">
        <v>6</v>
      </c>
      <c r="E9" s="50" t="s">
        <v>14</v>
      </c>
      <c r="F9" s="16">
        <v>4</v>
      </c>
      <c r="G9" s="16">
        <v>2</v>
      </c>
      <c r="H9" s="56">
        <f t="shared" si="0"/>
        <v>0.5</v>
      </c>
      <c r="I9" s="16">
        <v>2</v>
      </c>
      <c r="J9" s="36">
        <v>0</v>
      </c>
      <c r="K9" s="36">
        <v>0</v>
      </c>
      <c r="L9" s="1">
        <v>0</v>
      </c>
      <c r="M9" s="21">
        <v>0</v>
      </c>
      <c r="N9" s="21">
        <v>0</v>
      </c>
      <c r="O9" s="21">
        <v>0</v>
      </c>
      <c r="P9" s="21">
        <v>0</v>
      </c>
    </row>
    <row r="10" spans="1:16" x14ac:dyDescent="0.2">
      <c r="A10" s="57">
        <v>44455</v>
      </c>
      <c r="B10" s="1">
        <v>2</v>
      </c>
      <c r="C10" s="33" t="s">
        <v>32</v>
      </c>
      <c r="D10" s="16">
        <v>6</v>
      </c>
      <c r="E10" s="50" t="s">
        <v>14</v>
      </c>
      <c r="F10" s="16">
        <v>4</v>
      </c>
      <c r="G10" s="16">
        <v>0</v>
      </c>
      <c r="H10" s="56">
        <f t="shared" si="0"/>
        <v>0</v>
      </c>
      <c r="I10" s="16">
        <v>0</v>
      </c>
      <c r="J10" s="36">
        <v>0</v>
      </c>
      <c r="K10" s="36">
        <v>0</v>
      </c>
      <c r="L10" s="1">
        <v>0</v>
      </c>
      <c r="M10" s="21">
        <v>0</v>
      </c>
      <c r="N10" s="21">
        <v>0</v>
      </c>
      <c r="O10" s="21">
        <v>0</v>
      </c>
      <c r="P10" s="21">
        <v>0</v>
      </c>
    </row>
    <row r="11" spans="1:16" x14ac:dyDescent="0.2">
      <c r="A11" s="57">
        <v>44461</v>
      </c>
      <c r="B11" s="1">
        <v>3</v>
      </c>
      <c r="C11" s="33" t="s">
        <v>32</v>
      </c>
      <c r="D11" s="16">
        <v>6</v>
      </c>
      <c r="E11" s="50" t="s">
        <v>14</v>
      </c>
      <c r="F11" s="16">
        <v>4</v>
      </c>
      <c r="G11" s="16">
        <v>0</v>
      </c>
      <c r="H11" s="56">
        <f t="shared" si="0"/>
        <v>0</v>
      </c>
      <c r="I11" s="16">
        <v>0</v>
      </c>
      <c r="J11" s="36">
        <v>0</v>
      </c>
      <c r="K11" s="36">
        <v>0</v>
      </c>
      <c r="L11" s="1">
        <v>0</v>
      </c>
      <c r="M11" s="21">
        <v>0</v>
      </c>
      <c r="N11" s="21">
        <v>0</v>
      </c>
      <c r="O11" s="21">
        <v>0</v>
      </c>
      <c r="P11" s="21">
        <v>0</v>
      </c>
    </row>
    <row r="12" spans="1:16" x14ac:dyDescent="0.2">
      <c r="A12" s="57">
        <v>44363</v>
      </c>
      <c r="B12" s="1" t="s">
        <v>127</v>
      </c>
      <c r="C12" s="33" t="s">
        <v>33</v>
      </c>
      <c r="D12" s="16">
        <v>7</v>
      </c>
      <c r="E12" s="50" t="s">
        <v>15</v>
      </c>
      <c r="F12" s="16">
        <v>3</v>
      </c>
      <c r="G12" s="33">
        <v>0</v>
      </c>
      <c r="H12" s="51">
        <f t="shared" si="0"/>
        <v>0</v>
      </c>
      <c r="I12" s="16">
        <v>0</v>
      </c>
      <c r="J12" s="36">
        <v>0</v>
      </c>
      <c r="K12" s="36">
        <v>0</v>
      </c>
      <c r="L12" s="1">
        <v>0</v>
      </c>
      <c r="M12" s="21">
        <v>0</v>
      </c>
      <c r="N12" s="21">
        <v>0</v>
      </c>
      <c r="O12" s="21">
        <v>0</v>
      </c>
      <c r="P12" s="21">
        <v>0</v>
      </c>
    </row>
    <row r="13" spans="1:16" x14ac:dyDescent="0.2">
      <c r="A13" s="57">
        <v>44371</v>
      </c>
      <c r="B13" s="1" t="s">
        <v>127</v>
      </c>
      <c r="C13" s="33" t="s">
        <v>33</v>
      </c>
      <c r="D13" s="16">
        <v>7</v>
      </c>
      <c r="E13" s="50" t="s">
        <v>15</v>
      </c>
      <c r="F13" s="16">
        <v>3</v>
      </c>
      <c r="G13" s="33">
        <v>0</v>
      </c>
      <c r="H13" s="51">
        <f t="shared" si="0"/>
        <v>0</v>
      </c>
      <c r="I13" s="16">
        <v>0</v>
      </c>
      <c r="J13" s="36">
        <v>0</v>
      </c>
      <c r="K13" s="36">
        <v>0</v>
      </c>
      <c r="L13" s="1">
        <v>0</v>
      </c>
      <c r="M13" s="21">
        <v>0</v>
      </c>
      <c r="N13" s="21">
        <v>0</v>
      </c>
      <c r="O13" s="21">
        <v>0</v>
      </c>
      <c r="P13" s="21">
        <v>0</v>
      </c>
    </row>
    <row r="14" spans="1:16" x14ac:dyDescent="0.2">
      <c r="A14" s="57">
        <v>44379</v>
      </c>
      <c r="B14" s="1" t="s">
        <v>127</v>
      </c>
      <c r="C14" s="33" t="s">
        <v>33</v>
      </c>
      <c r="D14" s="16">
        <v>7</v>
      </c>
      <c r="E14" s="50" t="s">
        <v>15</v>
      </c>
      <c r="F14" s="16">
        <v>3</v>
      </c>
      <c r="G14" s="33">
        <v>0</v>
      </c>
      <c r="H14" s="51">
        <f t="shared" si="0"/>
        <v>0</v>
      </c>
      <c r="I14" s="16">
        <v>0</v>
      </c>
      <c r="J14" s="36">
        <v>0</v>
      </c>
      <c r="K14" s="36">
        <v>0</v>
      </c>
      <c r="L14" s="1">
        <v>0</v>
      </c>
      <c r="M14" s="21">
        <v>0</v>
      </c>
      <c r="N14" s="21">
        <v>0</v>
      </c>
      <c r="O14" s="21">
        <v>0</v>
      </c>
      <c r="P14" s="21">
        <v>0</v>
      </c>
    </row>
    <row r="15" spans="1:16" x14ac:dyDescent="0.2">
      <c r="A15" s="57">
        <v>44447</v>
      </c>
      <c r="B15" s="1">
        <v>1</v>
      </c>
      <c r="C15" s="33" t="s">
        <v>33</v>
      </c>
      <c r="D15" s="16">
        <v>7</v>
      </c>
      <c r="E15" s="50" t="s">
        <v>15</v>
      </c>
      <c r="F15" s="16">
        <v>3</v>
      </c>
      <c r="G15" s="33">
        <v>2</v>
      </c>
      <c r="H15" s="51">
        <f t="shared" si="0"/>
        <v>0.66666666666666663</v>
      </c>
      <c r="I15" s="16">
        <v>0</v>
      </c>
      <c r="J15" s="36">
        <v>1</v>
      </c>
      <c r="K15" s="36">
        <v>1</v>
      </c>
      <c r="L15" s="1">
        <v>1</v>
      </c>
      <c r="M15" s="21">
        <v>0</v>
      </c>
      <c r="N15" s="21">
        <v>0</v>
      </c>
      <c r="O15" s="21">
        <v>1</v>
      </c>
      <c r="P15" s="21">
        <v>0</v>
      </c>
    </row>
    <row r="16" spans="1:16" x14ac:dyDescent="0.2">
      <c r="A16" s="57">
        <v>44455</v>
      </c>
      <c r="B16" s="1">
        <v>2</v>
      </c>
      <c r="C16" s="33" t="s">
        <v>33</v>
      </c>
      <c r="D16" s="16">
        <v>7</v>
      </c>
      <c r="E16" s="50" t="s">
        <v>15</v>
      </c>
      <c r="F16" s="16">
        <v>3</v>
      </c>
      <c r="G16" s="33">
        <v>0</v>
      </c>
      <c r="H16" s="51">
        <f t="shared" si="0"/>
        <v>0</v>
      </c>
      <c r="I16" s="16">
        <v>0</v>
      </c>
      <c r="J16" s="36">
        <v>0</v>
      </c>
      <c r="K16" s="36">
        <v>0</v>
      </c>
      <c r="L16" s="1">
        <v>0</v>
      </c>
      <c r="M16" s="21">
        <v>0</v>
      </c>
      <c r="N16" s="21">
        <v>0</v>
      </c>
      <c r="O16" s="21">
        <v>0</v>
      </c>
      <c r="P16" s="21">
        <v>0</v>
      </c>
    </row>
    <row r="17" spans="1:16" x14ac:dyDescent="0.2">
      <c r="A17" s="57">
        <v>44461</v>
      </c>
      <c r="B17" s="1">
        <v>3</v>
      </c>
      <c r="C17" s="33" t="s">
        <v>33</v>
      </c>
      <c r="D17" s="16">
        <v>7</v>
      </c>
      <c r="E17" s="50" t="s">
        <v>15</v>
      </c>
      <c r="F17" s="16">
        <v>3</v>
      </c>
      <c r="G17" s="33">
        <v>0</v>
      </c>
      <c r="H17" s="51">
        <f t="shared" si="0"/>
        <v>0</v>
      </c>
      <c r="I17" s="16">
        <v>0</v>
      </c>
      <c r="J17" s="36">
        <v>0</v>
      </c>
      <c r="K17" s="36">
        <v>0</v>
      </c>
      <c r="L17" s="1">
        <v>0</v>
      </c>
      <c r="M17" s="21">
        <v>0</v>
      </c>
      <c r="N17" s="21">
        <v>0</v>
      </c>
      <c r="O17" s="21">
        <v>0</v>
      </c>
      <c r="P17" s="21">
        <v>0</v>
      </c>
    </row>
    <row r="18" spans="1:16" x14ac:dyDescent="0.2">
      <c r="A18" s="42">
        <v>44363</v>
      </c>
      <c r="B18" s="1" t="s">
        <v>127</v>
      </c>
      <c r="C18" s="33" t="s">
        <v>34</v>
      </c>
      <c r="D18" s="16">
        <v>8</v>
      </c>
      <c r="E18" s="50" t="s">
        <v>16</v>
      </c>
      <c r="F18" s="33">
        <v>3</v>
      </c>
      <c r="G18" s="33">
        <v>0</v>
      </c>
      <c r="H18" s="51">
        <f t="shared" si="0"/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</row>
    <row r="19" spans="1:16" x14ac:dyDescent="0.2">
      <c r="A19" s="42">
        <v>44371</v>
      </c>
      <c r="B19" s="1" t="s">
        <v>127</v>
      </c>
      <c r="C19" s="33" t="s">
        <v>34</v>
      </c>
      <c r="D19" s="16">
        <v>8</v>
      </c>
      <c r="E19" s="50" t="s">
        <v>16</v>
      </c>
      <c r="F19" s="33">
        <v>3</v>
      </c>
      <c r="G19" s="33">
        <v>0</v>
      </c>
      <c r="H19" s="51">
        <f t="shared" si="0"/>
        <v>0</v>
      </c>
      <c r="I19" s="40">
        <v>2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v>0</v>
      </c>
    </row>
    <row r="20" spans="1:16" x14ac:dyDescent="0.2">
      <c r="A20" s="42">
        <v>44379</v>
      </c>
      <c r="B20" s="1" t="s">
        <v>127</v>
      </c>
      <c r="C20" s="33" t="s">
        <v>34</v>
      </c>
      <c r="D20" s="16">
        <v>8</v>
      </c>
      <c r="E20" s="50" t="s">
        <v>16</v>
      </c>
      <c r="F20" s="33">
        <v>3</v>
      </c>
      <c r="G20" s="33">
        <v>0</v>
      </c>
      <c r="H20" s="51">
        <f t="shared" si="0"/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</row>
    <row r="21" spans="1:16" x14ac:dyDescent="0.2">
      <c r="A21" s="42">
        <v>44386</v>
      </c>
      <c r="B21" s="1" t="s">
        <v>127</v>
      </c>
      <c r="C21" s="33" t="s">
        <v>34</v>
      </c>
      <c r="D21" s="16">
        <v>8</v>
      </c>
      <c r="E21" s="50" t="s">
        <v>16</v>
      </c>
      <c r="F21" s="33">
        <v>3</v>
      </c>
      <c r="G21" s="33">
        <v>0</v>
      </c>
      <c r="H21" s="51">
        <f t="shared" si="0"/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  <c r="O21" s="40">
        <v>0</v>
      </c>
      <c r="P21" s="40">
        <v>0</v>
      </c>
    </row>
    <row r="22" spans="1:16" x14ac:dyDescent="0.2">
      <c r="A22" s="42">
        <v>44434</v>
      </c>
      <c r="B22" s="1">
        <v>1</v>
      </c>
      <c r="C22" s="33" t="s">
        <v>34</v>
      </c>
      <c r="D22" s="16">
        <v>8</v>
      </c>
      <c r="E22" s="50" t="s">
        <v>16</v>
      </c>
      <c r="F22" s="33">
        <v>3</v>
      </c>
      <c r="G22" s="33">
        <v>1</v>
      </c>
      <c r="H22" s="51">
        <f t="shared" si="0"/>
        <v>0.33333333333333331</v>
      </c>
      <c r="I22" s="40">
        <v>3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v>0</v>
      </c>
    </row>
    <row r="23" spans="1:16" x14ac:dyDescent="0.2">
      <c r="A23" s="42">
        <v>44441</v>
      </c>
      <c r="B23" s="1">
        <v>2</v>
      </c>
      <c r="C23" s="33" t="s">
        <v>34</v>
      </c>
      <c r="D23" s="16">
        <v>8</v>
      </c>
      <c r="E23" s="50" t="s">
        <v>16</v>
      </c>
      <c r="F23" s="33">
        <v>3</v>
      </c>
      <c r="G23" s="33">
        <v>5</v>
      </c>
      <c r="H23" s="51">
        <f t="shared" si="0"/>
        <v>1.6666666666666667</v>
      </c>
      <c r="I23" s="40">
        <v>5</v>
      </c>
      <c r="J23" s="40">
        <v>1</v>
      </c>
      <c r="K23" s="40">
        <v>0</v>
      </c>
      <c r="L23" s="40">
        <v>0</v>
      </c>
      <c r="M23" s="40">
        <v>1</v>
      </c>
      <c r="N23" s="40">
        <v>0</v>
      </c>
      <c r="O23" s="40">
        <v>0</v>
      </c>
      <c r="P23" s="40">
        <v>0</v>
      </c>
    </row>
    <row r="24" spans="1:16" x14ac:dyDescent="0.2">
      <c r="A24" s="42">
        <v>44448</v>
      </c>
      <c r="B24" s="1">
        <v>3</v>
      </c>
      <c r="C24" s="33" t="s">
        <v>34</v>
      </c>
      <c r="D24" s="16">
        <v>8</v>
      </c>
      <c r="E24" s="50" t="s">
        <v>16</v>
      </c>
      <c r="F24" s="33">
        <v>3</v>
      </c>
      <c r="G24" s="33">
        <v>7</v>
      </c>
      <c r="H24" s="51">
        <f t="shared" si="0"/>
        <v>2.3333333333333335</v>
      </c>
      <c r="I24" s="40">
        <v>8</v>
      </c>
      <c r="J24" s="40">
        <v>4</v>
      </c>
      <c r="K24" s="40">
        <v>1</v>
      </c>
      <c r="L24" s="40">
        <v>2</v>
      </c>
      <c r="M24" s="40">
        <v>2</v>
      </c>
      <c r="N24" s="40">
        <v>1</v>
      </c>
      <c r="O24" s="40">
        <v>0</v>
      </c>
      <c r="P24" s="40">
        <v>0</v>
      </c>
    </row>
    <row r="25" spans="1:16" x14ac:dyDescent="0.2">
      <c r="A25" s="42">
        <v>44455</v>
      </c>
      <c r="B25" s="1">
        <v>4</v>
      </c>
      <c r="C25" s="33" t="s">
        <v>34</v>
      </c>
      <c r="D25" s="16">
        <v>8</v>
      </c>
      <c r="E25" s="50" t="s">
        <v>16</v>
      </c>
      <c r="F25" s="33">
        <v>3</v>
      </c>
      <c r="G25" s="33">
        <v>0</v>
      </c>
      <c r="H25" s="51">
        <f t="shared" si="0"/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</row>
    <row r="26" spans="1:16" x14ac:dyDescent="0.2">
      <c r="A26" s="42">
        <v>44461</v>
      </c>
      <c r="B26" s="1">
        <v>5</v>
      </c>
      <c r="C26" s="33" t="s">
        <v>34</v>
      </c>
      <c r="D26" s="16">
        <v>8</v>
      </c>
      <c r="E26" s="50" t="s">
        <v>16</v>
      </c>
      <c r="F26" s="33">
        <v>3</v>
      </c>
      <c r="G26" s="33">
        <v>0</v>
      </c>
      <c r="H26" s="51">
        <f t="shared" si="0"/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0</v>
      </c>
    </row>
    <row r="27" spans="1:16" x14ac:dyDescent="0.2">
      <c r="A27" s="42">
        <v>44371</v>
      </c>
      <c r="B27" s="1" t="s">
        <v>127</v>
      </c>
      <c r="C27" s="33" t="s">
        <v>35</v>
      </c>
      <c r="D27" s="16">
        <v>9</v>
      </c>
      <c r="E27" s="50" t="s">
        <v>17</v>
      </c>
      <c r="F27" s="16">
        <v>4</v>
      </c>
      <c r="G27" s="33">
        <v>0</v>
      </c>
      <c r="H27" s="51">
        <f t="shared" si="0"/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0</v>
      </c>
      <c r="O27" s="40">
        <v>0</v>
      </c>
      <c r="P27" s="40">
        <v>0</v>
      </c>
    </row>
    <row r="28" spans="1:16" x14ac:dyDescent="0.2">
      <c r="A28" s="42">
        <v>44379</v>
      </c>
      <c r="B28" s="1" t="s">
        <v>127</v>
      </c>
      <c r="C28" s="33" t="s">
        <v>35</v>
      </c>
      <c r="D28" s="16">
        <v>9</v>
      </c>
      <c r="E28" s="50" t="s">
        <v>17</v>
      </c>
      <c r="F28" s="16">
        <v>4</v>
      </c>
      <c r="G28" s="33">
        <v>0</v>
      </c>
      <c r="H28" s="51">
        <f t="shared" si="0"/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</row>
    <row r="29" spans="1:16" x14ac:dyDescent="0.2">
      <c r="A29" s="42">
        <v>44386</v>
      </c>
      <c r="B29" s="1" t="s">
        <v>127</v>
      </c>
      <c r="C29" s="33" t="s">
        <v>35</v>
      </c>
      <c r="D29" s="16">
        <v>9</v>
      </c>
      <c r="E29" s="50" t="s">
        <v>17</v>
      </c>
      <c r="F29" s="16">
        <v>4</v>
      </c>
      <c r="G29" s="33">
        <v>0</v>
      </c>
      <c r="H29" s="51">
        <f t="shared" si="0"/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40">
        <v>0</v>
      </c>
    </row>
    <row r="30" spans="1:16" x14ac:dyDescent="0.2">
      <c r="A30" s="42">
        <v>44434</v>
      </c>
      <c r="B30" s="1">
        <v>1</v>
      </c>
      <c r="C30" s="33" t="s">
        <v>35</v>
      </c>
      <c r="D30" s="16">
        <v>9</v>
      </c>
      <c r="E30" s="50" t="s">
        <v>17</v>
      </c>
      <c r="F30" s="16">
        <v>4</v>
      </c>
      <c r="G30" s="33">
        <v>1</v>
      </c>
      <c r="H30" s="51">
        <f t="shared" si="0"/>
        <v>0.25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</row>
    <row r="31" spans="1:16" x14ac:dyDescent="0.2">
      <c r="A31" s="42">
        <v>44441</v>
      </c>
      <c r="B31" s="1">
        <v>2</v>
      </c>
      <c r="C31" s="33" t="s">
        <v>35</v>
      </c>
      <c r="D31" s="16">
        <v>9</v>
      </c>
      <c r="E31" s="50" t="s">
        <v>17</v>
      </c>
      <c r="F31" s="16">
        <v>4</v>
      </c>
      <c r="G31" s="33">
        <v>1</v>
      </c>
      <c r="H31" s="51">
        <f t="shared" si="0"/>
        <v>0.25</v>
      </c>
      <c r="I31" s="40">
        <v>2</v>
      </c>
      <c r="J31" s="40">
        <v>1</v>
      </c>
      <c r="K31" s="40">
        <v>0</v>
      </c>
      <c r="L31" s="40">
        <v>0</v>
      </c>
      <c r="M31" s="40">
        <v>1</v>
      </c>
      <c r="N31" s="40">
        <v>0</v>
      </c>
      <c r="O31" s="40">
        <v>0</v>
      </c>
      <c r="P31" s="40">
        <v>0</v>
      </c>
    </row>
    <row r="32" spans="1:16" x14ac:dyDescent="0.2">
      <c r="A32" s="42">
        <v>44448</v>
      </c>
      <c r="B32" s="1">
        <v>3</v>
      </c>
      <c r="C32" s="33" t="s">
        <v>35</v>
      </c>
      <c r="D32" s="16">
        <v>9</v>
      </c>
      <c r="E32" s="50" t="s">
        <v>17</v>
      </c>
      <c r="F32" s="16">
        <v>4</v>
      </c>
      <c r="G32" s="33">
        <v>0</v>
      </c>
      <c r="H32" s="51">
        <f t="shared" si="0"/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</row>
    <row r="33" spans="1:16" x14ac:dyDescent="0.2">
      <c r="A33" s="42">
        <v>44455</v>
      </c>
      <c r="B33" s="1">
        <v>4</v>
      </c>
      <c r="C33" s="33" t="s">
        <v>35</v>
      </c>
      <c r="D33" s="16">
        <v>9</v>
      </c>
      <c r="E33" s="50" t="s">
        <v>17</v>
      </c>
      <c r="F33" s="16">
        <v>4</v>
      </c>
      <c r="G33" s="33">
        <v>0</v>
      </c>
      <c r="H33" s="51">
        <f t="shared" si="0"/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40">
        <v>0</v>
      </c>
    </row>
    <row r="34" spans="1:16" x14ac:dyDescent="0.2">
      <c r="A34" s="42">
        <v>44461</v>
      </c>
      <c r="B34" s="1">
        <v>5</v>
      </c>
      <c r="C34" s="33" t="s">
        <v>35</v>
      </c>
      <c r="D34" s="16">
        <v>9</v>
      </c>
      <c r="E34" s="50" t="s">
        <v>17</v>
      </c>
      <c r="F34" s="16">
        <v>4</v>
      </c>
      <c r="G34" s="33">
        <v>0</v>
      </c>
      <c r="H34" s="51">
        <f t="shared" si="0"/>
        <v>0</v>
      </c>
      <c r="I34" s="40">
        <v>0</v>
      </c>
      <c r="J34" s="40">
        <v>0</v>
      </c>
      <c r="K34" s="40">
        <v>1</v>
      </c>
      <c r="L34" s="40">
        <v>0</v>
      </c>
      <c r="M34" s="40">
        <v>0</v>
      </c>
      <c r="N34" s="40">
        <v>1</v>
      </c>
      <c r="O34" s="40">
        <v>0</v>
      </c>
      <c r="P34" s="40">
        <v>0</v>
      </c>
    </row>
    <row r="35" spans="1:16" x14ac:dyDescent="0.2">
      <c r="A35" s="42">
        <v>44434</v>
      </c>
      <c r="B35" s="1">
        <v>1</v>
      </c>
      <c r="C35" s="33" t="s">
        <v>36</v>
      </c>
      <c r="D35" s="16">
        <v>10</v>
      </c>
      <c r="E35" s="50" t="s">
        <v>18</v>
      </c>
      <c r="F35" s="46">
        <v>5</v>
      </c>
      <c r="G35" s="33">
        <v>1</v>
      </c>
      <c r="H35" s="51">
        <f t="shared" si="0"/>
        <v>0.2</v>
      </c>
      <c r="I35" s="40">
        <v>1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</row>
    <row r="36" spans="1:16" x14ac:dyDescent="0.2">
      <c r="A36" s="42">
        <v>44441</v>
      </c>
      <c r="B36" s="1">
        <v>2</v>
      </c>
      <c r="C36" s="33" t="s">
        <v>36</v>
      </c>
      <c r="D36" s="16">
        <v>10</v>
      </c>
      <c r="E36" s="50" t="s">
        <v>18</v>
      </c>
      <c r="F36" s="46">
        <v>5</v>
      </c>
      <c r="G36" s="33">
        <v>3</v>
      </c>
      <c r="H36" s="51">
        <f t="shared" ref="H36:H54" si="1">G36/F36</f>
        <v>0.6</v>
      </c>
      <c r="I36" s="40">
        <v>5</v>
      </c>
      <c r="J36" s="40">
        <v>1</v>
      </c>
      <c r="K36" s="40">
        <v>0</v>
      </c>
      <c r="L36" s="40">
        <v>0</v>
      </c>
      <c r="M36" s="40">
        <v>1</v>
      </c>
      <c r="N36" s="40">
        <v>0</v>
      </c>
      <c r="O36" s="40">
        <v>0</v>
      </c>
      <c r="P36" s="40">
        <v>0</v>
      </c>
    </row>
    <row r="37" spans="1:16" x14ac:dyDescent="0.2">
      <c r="A37" s="42">
        <v>44449</v>
      </c>
      <c r="B37" s="1">
        <v>3</v>
      </c>
      <c r="C37" s="33" t="s">
        <v>36</v>
      </c>
      <c r="D37" s="16">
        <v>10</v>
      </c>
      <c r="E37" s="50" t="s">
        <v>18</v>
      </c>
      <c r="F37" s="46">
        <v>5</v>
      </c>
      <c r="G37" s="33">
        <v>0</v>
      </c>
      <c r="H37" s="51">
        <f t="shared" si="1"/>
        <v>0</v>
      </c>
      <c r="I37" s="40">
        <v>0</v>
      </c>
      <c r="J37" s="40">
        <v>1</v>
      </c>
      <c r="K37" s="40">
        <v>0</v>
      </c>
      <c r="L37" s="40">
        <v>0</v>
      </c>
      <c r="M37" s="40">
        <v>1</v>
      </c>
      <c r="N37" s="40">
        <v>0</v>
      </c>
      <c r="O37" s="40">
        <v>0</v>
      </c>
      <c r="P37" s="40">
        <v>0</v>
      </c>
    </row>
    <row r="38" spans="1:16" x14ac:dyDescent="0.2">
      <c r="A38" s="42">
        <v>44456</v>
      </c>
      <c r="B38" s="1">
        <v>4</v>
      </c>
      <c r="C38" s="33" t="s">
        <v>36</v>
      </c>
      <c r="D38" s="16">
        <v>10</v>
      </c>
      <c r="E38" s="50" t="s">
        <v>18</v>
      </c>
      <c r="F38" s="46">
        <v>5</v>
      </c>
      <c r="G38" s="33">
        <v>0</v>
      </c>
      <c r="H38" s="51">
        <f t="shared" si="1"/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</row>
    <row r="39" spans="1:16" x14ac:dyDescent="0.2">
      <c r="A39" s="42">
        <v>44434</v>
      </c>
      <c r="B39" s="1">
        <v>1</v>
      </c>
      <c r="C39" s="33" t="s">
        <v>37</v>
      </c>
      <c r="D39" s="16">
        <v>11</v>
      </c>
      <c r="E39" s="50" t="s">
        <v>19</v>
      </c>
      <c r="F39" s="16">
        <v>4</v>
      </c>
      <c r="G39" s="33">
        <v>0</v>
      </c>
      <c r="H39" s="51">
        <f t="shared" si="1"/>
        <v>0</v>
      </c>
      <c r="I39" s="40">
        <v>2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v>0</v>
      </c>
    </row>
    <row r="40" spans="1:16" x14ac:dyDescent="0.2">
      <c r="A40" s="42">
        <v>44441</v>
      </c>
      <c r="B40" s="1">
        <v>2</v>
      </c>
      <c r="C40" s="33" t="s">
        <v>37</v>
      </c>
      <c r="D40" s="16">
        <v>11</v>
      </c>
      <c r="E40" s="50" t="s">
        <v>19</v>
      </c>
      <c r="F40" s="16">
        <v>4</v>
      </c>
      <c r="G40" s="33">
        <v>2</v>
      </c>
      <c r="H40" s="51">
        <f t="shared" si="1"/>
        <v>0.5</v>
      </c>
      <c r="I40" s="40">
        <v>4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</row>
    <row r="41" spans="1:16" x14ac:dyDescent="0.2">
      <c r="A41" s="42">
        <v>44441</v>
      </c>
      <c r="B41" s="1">
        <v>3</v>
      </c>
      <c r="C41" s="33" t="s">
        <v>37</v>
      </c>
      <c r="D41" s="16">
        <v>11</v>
      </c>
      <c r="E41" s="50" t="s">
        <v>19</v>
      </c>
      <c r="F41" s="16">
        <v>4</v>
      </c>
      <c r="G41" s="33">
        <v>0</v>
      </c>
      <c r="H41" s="51">
        <f t="shared" si="1"/>
        <v>0</v>
      </c>
      <c r="I41" s="40">
        <v>0</v>
      </c>
      <c r="J41" s="40">
        <v>0</v>
      </c>
      <c r="K41" s="40">
        <v>1</v>
      </c>
      <c r="L41" s="40">
        <v>0</v>
      </c>
      <c r="M41" s="40">
        <v>0</v>
      </c>
      <c r="N41" s="40">
        <v>0</v>
      </c>
      <c r="O41" s="40">
        <v>1</v>
      </c>
      <c r="P41" s="40">
        <v>0</v>
      </c>
    </row>
    <row r="42" spans="1:16" x14ac:dyDescent="0.2">
      <c r="A42" s="42">
        <v>44456</v>
      </c>
      <c r="B42" s="1">
        <v>4</v>
      </c>
      <c r="C42" s="33" t="s">
        <v>37</v>
      </c>
      <c r="D42" s="16">
        <v>11</v>
      </c>
      <c r="E42" s="50" t="s">
        <v>19</v>
      </c>
      <c r="F42" s="16">
        <v>4</v>
      </c>
      <c r="G42" s="33">
        <v>1</v>
      </c>
      <c r="H42" s="51">
        <f t="shared" si="1"/>
        <v>0.25</v>
      </c>
      <c r="I42" s="40">
        <v>0</v>
      </c>
      <c r="J42" s="40">
        <v>1</v>
      </c>
      <c r="K42" s="40">
        <v>0</v>
      </c>
      <c r="L42" s="40">
        <v>0</v>
      </c>
      <c r="M42" s="40">
        <v>1</v>
      </c>
      <c r="N42" s="40">
        <v>0</v>
      </c>
      <c r="O42" s="40">
        <v>0</v>
      </c>
      <c r="P42" s="40">
        <v>0</v>
      </c>
    </row>
    <row r="43" spans="1:16" x14ac:dyDescent="0.2">
      <c r="A43" s="42">
        <v>44456</v>
      </c>
      <c r="B43" s="1">
        <v>1</v>
      </c>
      <c r="C43" s="33" t="s">
        <v>38</v>
      </c>
      <c r="D43" s="16">
        <v>12</v>
      </c>
      <c r="E43" s="50" t="s">
        <v>20</v>
      </c>
      <c r="F43" s="46">
        <v>3</v>
      </c>
      <c r="G43" s="33">
        <v>4</v>
      </c>
      <c r="H43" s="51">
        <f t="shared" si="1"/>
        <v>1.3333333333333333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 s="40">
        <v>0</v>
      </c>
      <c r="O43" s="40">
        <v>0</v>
      </c>
      <c r="P43" s="40">
        <v>0</v>
      </c>
    </row>
    <row r="44" spans="1:16" x14ac:dyDescent="0.2">
      <c r="A44" s="42">
        <v>44463</v>
      </c>
      <c r="B44" s="1">
        <v>1</v>
      </c>
      <c r="C44" s="33" t="s">
        <v>124</v>
      </c>
      <c r="D44" s="16">
        <v>13</v>
      </c>
      <c r="E44" s="50" t="s">
        <v>21</v>
      </c>
      <c r="F44" s="16">
        <v>3</v>
      </c>
      <c r="G44" s="33">
        <v>0</v>
      </c>
      <c r="H44" s="51">
        <f t="shared" si="1"/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</row>
    <row r="45" spans="1:16" x14ac:dyDescent="0.2">
      <c r="A45" s="42">
        <v>44463</v>
      </c>
      <c r="B45" s="1">
        <v>1</v>
      </c>
      <c r="C45" s="33" t="s">
        <v>123</v>
      </c>
      <c r="D45" s="16">
        <v>14</v>
      </c>
      <c r="E45" s="50" t="s">
        <v>22</v>
      </c>
      <c r="F45" s="16">
        <v>3</v>
      </c>
      <c r="G45" s="33">
        <v>1</v>
      </c>
      <c r="H45" s="51">
        <f t="shared" si="1"/>
        <v>0.33333333333333331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40">
        <v>0</v>
      </c>
    </row>
    <row r="46" spans="1:16" x14ac:dyDescent="0.2">
      <c r="A46" s="42">
        <v>44463</v>
      </c>
      <c r="B46" s="40">
        <v>1</v>
      </c>
      <c r="C46" s="33" t="s">
        <v>40</v>
      </c>
      <c r="D46" s="16">
        <v>15</v>
      </c>
      <c r="E46" s="50" t="s">
        <v>125</v>
      </c>
      <c r="F46" s="16">
        <v>6</v>
      </c>
      <c r="G46" s="33">
        <v>0</v>
      </c>
      <c r="H46" s="51">
        <f t="shared" si="1"/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</row>
    <row r="47" spans="1:16" x14ac:dyDescent="0.2">
      <c r="A47" s="42">
        <v>44463</v>
      </c>
      <c r="B47" s="40">
        <v>1</v>
      </c>
      <c r="C47" s="33" t="s">
        <v>129</v>
      </c>
      <c r="D47" s="33">
        <v>16</v>
      </c>
      <c r="E47" s="50" t="s">
        <v>128</v>
      </c>
      <c r="F47" s="1">
        <v>6</v>
      </c>
      <c r="G47" s="33">
        <v>0</v>
      </c>
      <c r="H47" s="51">
        <f t="shared" si="1"/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  <c r="P47" s="40">
        <v>0</v>
      </c>
    </row>
    <row r="48" spans="1:16" x14ac:dyDescent="0.2">
      <c r="A48" s="42">
        <v>44466</v>
      </c>
      <c r="B48" s="40">
        <v>1</v>
      </c>
      <c r="C48" s="16" t="s">
        <v>131</v>
      </c>
      <c r="D48" s="16">
        <v>17</v>
      </c>
      <c r="E48" s="50" t="s">
        <v>130</v>
      </c>
      <c r="F48" s="1">
        <v>2</v>
      </c>
      <c r="G48" s="33">
        <v>1</v>
      </c>
      <c r="H48" s="51">
        <f t="shared" si="1"/>
        <v>0.5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</row>
    <row r="49" spans="1:17" x14ac:dyDescent="0.2">
      <c r="A49" s="42">
        <v>44466</v>
      </c>
      <c r="B49" s="40">
        <v>1</v>
      </c>
      <c r="C49" s="16" t="s">
        <v>133</v>
      </c>
      <c r="D49" s="16">
        <v>18</v>
      </c>
      <c r="E49" s="50" t="s">
        <v>132</v>
      </c>
      <c r="F49" s="1">
        <v>3</v>
      </c>
      <c r="G49" s="33">
        <v>1</v>
      </c>
      <c r="H49" s="51">
        <f t="shared" si="1"/>
        <v>0.33333333333333331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</row>
    <row r="50" spans="1:17" x14ac:dyDescent="0.2">
      <c r="A50" s="42">
        <v>44466</v>
      </c>
      <c r="B50" s="40">
        <v>1</v>
      </c>
      <c r="C50" s="16" t="s">
        <v>143</v>
      </c>
      <c r="D50" s="16">
        <v>19</v>
      </c>
      <c r="E50" s="50" t="s">
        <v>141</v>
      </c>
      <c r="F50" s="1">
        <v>4</v>
      </c>
      <c r="G50" s="33">
        <v>0</v>
      </c>
      <c r="H50" s="51">
        <f t="shared" si="1"/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/>
    </row>
    <row r="51" spans="1:17" x14ac:dyDescent="0.2">
      <c r="A51" s="42">
        <v>44469</v>
      </c>
      <c r="B51" s="40">
        <v>1</v>
      </c>
      <c r="C51" s="16" t="s">
        <v>144</v>
      </c>
      <c r="D51" s="16">
        <v>20</v>
      </c>
      <c r="E51" s="50" t="s">
        <v>142</v>
      </c>
      <c r="F51" s="1">
        <v>4</v>
      </c>
      <c r="G51" s="33">
        <v>2</v>
      </c>
      <c r="H51" s="51">
        <f t="shared" si="1"/>
        <v>0.5</v>
      </c>
      <c r="I51" s="40">
        <v>2</v>
      </c>
      <c r="J51" s="40">
        <v>0</v>
      </c>
      <c r="K51" s="40">
        <v>1</v>
      </c>
      <c r="L51" s="40">
        <v>0</v>
      </c>
      <c r="M51" s="40">
        <v>0</v>
      </c>
      <c r="N51" s="40">
        <v>0</v>
      </c>
      <c r="O51" s="40">
        <v>1</v>
      </c>
      <c r="P51" s="40">
        <v>0</v>
      </c>
    </row>
    <row r="52" spans="1:17" x14ac:dyDescent="0.2">
      <c r="A52" s="42">
        <v>44466</v>
      </c>
      <c r="B52" s="40">
        <v>1</v>
      </c>
      <c r="C52" s="16" t="s">
        <v>136</v>
      </c>
      <c r="D52" s="16">
        <v>21</v>
      </c>
      <c r="E52" s="50" t="s">
        <v>134</v>
      </c>
      <c r="F52" s="1">
        <v>3</v>
      </c>
      <c r="G52" s="33">
        <v>0</v>
      </c>
      <c r="H52" s="51">
        <f t="shared" si="1"/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</row>
    <row r="53" spans="1:17" ht="13.5" thickBot="1" x14ac:dyDescent="0.25">
      <c r="A53" s="42">
        <v>44466</v>
      </c>
      <c r="B53" s="40">
        <v>1</v>
      </c>
      <c r="C53" s="16" t="s">
        <v>137</v>
      </c>
      <c r="D53" s="16">
        <v>22</v>
      </c>
      <c r="E53" s="50" t="s">
        <v>135</v>
      </c>
      <c r="F53" s="4">
        <v>4</v>
      </c>
      <c r="G53" s="59">
        <v>0</v>
      </c>
      <c r="H53" s="60">
        <f t="shared" si="1"/>
        <v>0</v>
      </c>
      <c r="I53" s="61">
        <v>0</v>
      </c>
      <c r="J53" s="61">
        <v>0</v>
      </c>
      <c r="K53" s="61">
        <v>0</v>
      </c>
      <c r="L53" s="61">
        <v>0</v>
      </c>
      <c r="M53" s="61">
        <v>0</v>
      </c>
      <c r="N53" s="61">
        <v>0</v>
      </c>
      <c r="O53" s="61">
        <v>0</v>
      </c>
      <c r="P53" s="61">
        <v>0</v>
      </c>
    </row>
    <row r="54" spans="1:17" x14ac:dyDescent="0.2">
      <c r="A54" s="42"/>
      <c r="F54" s="2">
        <f>SUM(F4:F53)</f>
        <v>179</v>
      </c>
      <c r="G54" s="2">
        <f>SUM(G4:G53)</f>
        <v>35</v>
      </c>
      <c r="H54" s="63">
        <f t="shared" si="1"/>
        <v>0.19553072625698323</v>
      </c>
      <c r="I54" s="2">
        <f t="shared" ref="I54:P54" si="2">SUM(I4:I53)</f>
        <v>36</v>
      </c>
      <c r="J54" s="2">
        <f t="shared" si="2"/>
        <v>10</v>
      </c>
      <c r="K54" s="2">
        <f t="shared" si="2"/>
        <v>5</v>
      </c>
      <c r="L54" s="2">
        <f t="shared" si="2"/>
        <v>3</v>
      </c>
      <c r="M54" s="2">
        <f t="shared" si="2"/>
        <v>7</v>
      </c>
      <c r="N54" s="2">
        <f t="shared" si="2"/>
        <v>2</v>
      </c>
      <c r="O54" s="2">
        <f t="shared" si="2"/>
        <v>3</v>
      </c>
      <c r="P54" s="2">
        <f t="shared" si="2"/>
        <v>0</v>
      </c>
    </row>
    <row r="55" spans="1:17" x14ac:dyDescent="0.2">
      <c r="A55" s="42"/>
      <c r="H55" s="1"/>
    </row>
    <row r="56" spans="1:17" x14ac:dyDescent="0.2">
      <c r="A56" s="42"/>
      <c r="H56" s="1"/>
    </row>
    <row r="57" spans="1:17" ht="20.25" x14ac:dyDescent="0.3">
      <c r="A57" s="42"/>
      <c r="B57" s="101" t="s">
        <v>172</v>
      </c>
      <c r="C57" s="101"/>
      <c r="D57" s="101"/>
      <c r="E57" s="102"/>
      <c r="F57" s="101"/>
      <c r="G57" s="101"/>
      <c r="H57" s="101"/>
      <c r="I57" s="101"/>
      <c r="J57" s="99"/>
      <c r="K57" s="99"/>
      <c r="L57" s="99"/>
      <c r="M57" s="99"/>
    </row>
    <row r="58" spans="1:17" x14ac:dyDescent="0.2">
      <c r="A58" s="42"/>
      <c r="H58" s="1"/>
    </row>
    <row r="59" spans="1:17" x14ac:dyDescent="0.2">
      <c r="A59" s="42"/>
      <c r="H59" s="1"/>
    </row>
    <row r="60" spans="1:17" x14ac:dyDescent="0.2">
      <c r="A60" s="42"/>
      <c r="H60" s="1"/>
    </row>
    <row r="61" spans="1:17" x14ac:dyDescent="0.2">
      <c r="A61" s="42"/>
      <c r="H61" s="1"/>
    </row>
    <row r="62" spans="1:17" x14ac:dyDescent="0.2">
      <c r="A62" s="42"/>
      <c r="H62" s="1"/>
    </row>
    <row r="63" spans="1:17" x14ac:dyDescent="0.2">
      <c r="A63" s="42"/>
      <c r="H63" s="1"/>
    </row>
    <row r="64" spans="1:17" x14ac:dyDescent="0.2">
      <c r="A64" s="42"/>
      <c r="H64" s="1"/>
    </row>
    <row r="65" spans="1:8" x14ac:dyDescent="0.2">
      <c r="A65" s="42"/>
      <c r="H65" s="1"/>
    </row>
    <row r="66" spans="1:8" x14ac:dyDescent="0.2">
      <c r="A66" s="42"/>
      <c r="H66" s="1"/>
    </row>
    <row r="67" spans="1:8" x14ac:dyDescent="0.2">
      <c r="A67" s="42"/>
      <c r="H67" s="1"/>
    </row>
    <row r="68" spans="1:8" x14ac:dyDescent="0.2">
      <c r="A68" s="42"/>
      <c r="H68" s="1"/>
    </row>
    <row r="69" spans="1:8" x14ac:dyDescent="0.2">
      <c r="A69" s="42"/>
      <c r="H69" s="1"/>
    </row>
    <row r="70" spans="1:8" x14ac:dyDescent="0.2">
      <c r="A70" s="42"/>
      <c r="H70" s="1"/>
    </row>
    <row r="71" spans="1:8" x14ac:dyDescent="0.2">
      <c r="A71" s="42"/>
      <c r="H71" s="1"/>
    </row>
    <row r="72" spans="1:8" x14ac:dyDescent="0.2">
      <c r="A72" s="42"/>
      <c r="H72" s="1"/>
    </row>
    <row r="73" spans="1:8" x14ac:dyDescent="0.2">
      <c r="A73" s="42"/>
      <c r="H73" s="1"/>
    </row>
    <row r="74" spans="1:8" x14ac:dyDescent="0.2">
      <c r="A74" s="42"/>
      <c r="H74" s="1"/>
    </row>
    <row r="75" spans="1:8" x14ac:dyDescent="0.2">
      <c r="A75" s="42"/>
      <c r="H75" s="1"/>
    </row>
    <row r="76" spans="1:8" x14ac:dyDescent="0.2">
      <c r="A76" s="42"/>
      <c r="H76" s="1"/>
    </row>
    <row r="77" spans="1:8" x14ac:dyDescent="0.2">
      <c r="A77" s="42"/>
      <c r="H77" s="1"/>
    </row>
    <row r="78" spans="1:8" x14ac:dyDescent="0.2">
      <c r="A78" s="42"/>
      <c r="H78" s="1"/>
    </row>
    <row r="79" spans="1:8" x14ac:dyDescent="0.2">
      <c r="A79" s="42"/>
      <c r="H79" s="1"/>
    </row>
    <row r="80" spans="1:8" x14ac:dyDescent="0.2">
      <c r="A80" s="42"/>
      <c r="H80" s="1"/>
    </row>
    <row r="81" spans="1:8" x14ac:dyDescent="0.2">
      <c r="A81" s="42"/>
      <c r="H81" s="1"/>
    </row>
    <row r="82" spans="1:8" x14ac:dyDescent="0.2">
      <c r="A82" s="42"/>
      <c r="H82" s="1"/>
    </row>
    <row r="83" spans="1:8" x14ac:dyDescent="0.2">
      <c r="A83" s="42"/>
      <c r="H83" s="1"/>
    </row>
    <row r="84" spans="1:8" x14ac:dyDescent="0.2">
      <c r="A84" s="42"/>
      <c r="H84" s="1"/>
    </row>
    <row r="85" spans="1:8" x14ac:dyDescent="0.2">
      <c r="A85" s="42"/>
      <c r="H85" s="1"/>
    </row>
    <row r="86" spans="1:8" x14ac:dyDescent="0.2">
      <c r="A86" s="42"/>
      <c r="H86" s="1"/>
    </row>
    <row r="87" spans="1:8" x14ac:dyDescent="0.2">
      <c r="A87" s="42"/>
      <c r="H87" s="1"/>
    </row>
    <row r="88" spans="1:8" x14ac:dyDescent="0.2">
      <c r="A88" s="42"/>
      <c r="H88" s="1"/>
    </row>
    <row r="89" spans="1:8" x14ac:dyDescent="0.2">
      <c r="A89" s="42"/>
      <c r="H89" s="1"/>
    </row>
    <row r="90" spans="1:8" x14ac:dyDescent="0.2">
      <c r="A90" s="42"/>
      <c r="H90" s="1"/>
    </row>
    <row r="91" spans="1:8" x14ac:dyDescent="0.2">
      <c r="A91" s="42"/>
      <c r="H91" s="1"/>
    </row>
    <row r="92" spans="1:8" x14ac:dyDescent="0.2">
      <c r="A92" s="42"/>
      <c r="H92" s="1"/>
    </row>
    <row r="93" spans="1:8" x14ac:dyDescent="0.2">
      <c r="A93" s="42"/>
      <c r="H93" s="1"/>
    </row>
    <row r="94" spans="1:8" x14ac:dyDescent="0.2">
      <c r="A94" s="42"/>
      <c r="H94" s="1"/>
    </row>
    <row r="95" spans="1:8" x14ac:dyDescent="0.2">
      <c r="A95" s="42"/>
      <c r="H95" s="1"/>
    </row>
    <row r="96" spans="1:8" x14ac:dyDescent="0.2">
      <c r="A96" s="42"/>
      <c r="H96" s="1"/>
    </row>
    <row r="97" spans="1:8" x14ac:dyDescent="0.2">
      <c r="A97" s="42"/>
      <c r="H97" s="1"/>
    </row>
    <row r="98" spans="1:8" x14ac:dyDescent="0.2">
      <c r="A98" s="42"/>
      <c r="H98" s="1"/>
    </row>
    <row r="99" spans="1:8" x14ac:dyDescent="0.2">
      <c r="A99" s="42"/>
      <c r="H99" s="1"/>
    </row>
    <row r="100" spans="1:8" x14ac:dyDescent="0.2">
      <c r="A100" s="42"/>
      <c r="H100" s="1"/>
    </row>
    <row r="101" spans="1:8" x14ac:dyDescent="0.2">
      <c r="A101" s="42"/>
      <c r="H101" s="1"/>
    </row>
    <row r="102" spans="1:8" x14ac:dyDescent="0.2">
      <c r="A102" s="42"/>
      <c r="H102" s="1"/>
    </row>
    <row r="103" spans="1:8" x14ac:dyDescent="0.2">
      <c r="A103" s="42"/>
      <c r="H103" s="1"/>
    </row>
    <row r="104" spans="1:8" x14ac:dyDescent="0.2">
      <c r="A104" s="42"/>
      <c r="H104" s="1"/>
    </row>
    <row r="105" spans="1:8" x14ac:dyDescent="0.2">
      <c r="A105" s="42"/>
      <c r="H105" s="1"/>
    </row>
    <row r="106" spans="1:8" x14ac:dyDescent="0.2">
      <c r="A106" s="42"/>
      <c r="H106" s="1"/>
    </row>
    <row r="107" spans="1:8" x14ac:dyDescent="0.2">
      <c r="A107" s="42"/>
      <c r="H107" s="1"/>
    </row>
    <row r="108" spans="1:8" x14ac:dyDescent="0.2">
      <c r="A108" s="42"/>
      <c r="H108" s="1"/>
    </row>
    <row r="109" spans="1:8" x14ac:dyDescent="0.2">
      <c r="A109" s="42"/>
      <c r="H109" s="1"/>
    </row>
    <row r="110" spans="1:8" x14ac:dyDescent="0.2">
      <c r="A110" s="42"/>
      <c r="H110" s="1"/>
    </row>
    <row r="111" spans="1:8" x14ac:dyDescent="0.2">
      <c r="A111" s="42"/>
      <c r="H111" s="1"/>
    </row>
    <row r="112" spans="1:8" x14ac:dyDescent="0.2">
      <c r="A112" s="42"/>
      <c r="H112" s="1"/>
    </row>
    <row r="113" spans="1:8" x14ac:dyDescent="0.2">
      <c r="A113" s="42"/>
      <c r="H113" s="1"/>
    </row>
    <row r="114" spans="1:8" x14ac:dyDescent="0.2">
      <c r="A114" s="42"/>
      <c r="H114" s="1"/>
    </row>
    <row r="115" spans="1:8" x14ac:dyDescent="0.2">
      <c r="A115" s="42"/>
      <c r="H115" s="1"/>
    </row>
  </sheetData>
  <pageMargins left="0.7" right="0.7" top="0.75" bottom="0.75" header="0.3" footer="0.3"/>
  <pageSetup orientation="portrait" r:id="rId1"/>
  <ignoredErrors>
    <ignoredError sqref="H5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28"/>
  <sheetViews>
    <sheetView workbookViewId="0">
      <pane ySplit="3" topLeftCell="A39" activePane="bottomLeft" state="frozen"/>
      <selection pane="bottomLeft" activeCell="G57" sqref="G57:G61"/>
    </sheetView>
  </sheetViews>
  <sheetFormatPr defaultRowHeight="12.75" x14ac:dyDescent="0.2"/>
  <cols>
    <col min="1" max="1" width="10.42578125" customWidth="1"/>
    <col min="5" max="5" width="38.28515625" customWidth="1"/>
    <col min="16" max="16" width="17.42578125" customWidth="1"/>
  </cols>
  <sheetData>
    <row r="1" spans="1:16" x14ac:dyDescent="0.2">
      <c r="A1" s="2"/>
      <c r="B1" s="2"/>
      <c r="C1" s="2"/>
      <c r="D1" s="2"/>
      <c r="E1" s="2"/>
      <c r="I1" s="3" t="s">
        <v>24</v>
      </c>
      <c r="J1" s="3"/>
      <c r="K1" s="3"/>
    </row>
    <row r="2" spans="1:16" x14ac:dyDescent="0.2">
      <c r="D2" s="2" t="s">
        <v>113</v>
      </c>
      <c r="F2" s="2" t="s">
        <v>4</v>
      </c>
      <c r="G2" s="2" t="s">
        <v>140</v>
      </c>
      <c r="H2" s="2" t="s">
        <v>3</v>
      </c>
      <c r="J2" s="2" t="s">
        <v>8</v>
      </c>
      <c r="K2" s="2"/>
      <c r="P2" s="21" t="s">
        <v>154</v>
      </c>
    </row>
    <row r="3" spans="1:16" ht="13.5" thickBot="1" x14ac:dyDescent="0.25">
      <c r="A3" s="2" t="s">
        <v>0</v>
      </c>
      <c r="B3" s="2" t="s">
        <v>1</v>
      </c>
      <c r="C3" s="2" t="s">
        <v>108</v>
      </c>
      <c r="D3" s="2" t="s">
        <v>114</v>
      </c>
      <c r="E3" s="2" t="s">
        <v>2</v>
      </c>
      <c r="F3" s="2" t="s">
        <v>26</v>
      </c>
      <c r="G3" s="2" t="s">
        <v>3</v>
      </c>
      <c r="H3" s="2" t="s">
        <v>73</v>
      </c>
      <c r="I3" s="2" t="s">
        <v>5</v>
      </c>
      <c r="J3" s="4" t="s">
        <v>6</v>
      </c>
      <c r="K3" s="4" t="s">
        <v>7</v>
      </c>
      <c r="L3" s="1" t="s">
        <v>109</v>
      </c>
      <c r="M3" s="21" t="s">
        <v>110</v>
      </c>
      <c r="N3" s="21" t="s">
        <v>111</v>
      </c>
      <c r="O3" s="21" t="s">
        <v>112</v>
      </c>
      <c r="P3" s="21" t="s">
        <v>155</v>
      </c>
    </row>
    <row r="4" spans="1:16" x14ac:dyDescent="0.2">
      <c r="A4" s="42">
        <v>44097</v>
      </c>
      <c r="B4" s="1">
        <v>1</v>
      </c>
      <c r="C4" s="33" t="s">
        <v>27</v>
      </c>
      <c r="D4" s="16">
        <v>1</v>
      </c>
      <c r="E4" s="50" t="s">
        <v>9</v>
      </c>
      <c r="F4" s="16">
        <v>6</v>
      </c>
      <c r="G4" s="16">
        <v>0</v>
      </c>
      <c r="H4" s="56">
        <f t="shared" ref="H4:H38" si="0">G4/F4</f>
        <v>0</v>
      </c>
      <c r="I4" s="16">
        <v>0</v>
      </c>
      <c r="J4" s="36">
        <v>0</v>
      </c>
      <c r="K4" s="36">
        <v>0</v>
      </c>
      <c r="L4" s="1">
        <v>0</v>
      </c>
      <c r="M4" s="21">
        <v>0</v>
      </c>
      <c r="N4" s="21">
        <v>0</v>
      </c>
      <c r="O4" s="21">
        <v>0</v>
      </c>
      <c r="P4" s="21">
        <v>0</v>
      </c>
    </row>
    <row r="5" spans="1:16" x14ac:dyDescent="0.2">
      <c r="A5" s="42">
        <v>44097</v>
      </c>
      <c r="B5" s="1">
        <v>1</v>
      </c>
      <c r="C5" s="33" t="s">
        <v>28</v>
      </c>
      <c r="D5" s="16">
        <v>2</v>
      </c>
      <c r="E5" s="50" t="s">
        <v>10</v>
      </c>
      <c r="F5" s="16">
        <v>3</v>
      </c>
      <c r="G5" s="16">
        <v>0</v>
      </c>
      <c r="H5" s="56">
        <f t="shared" si="0"/>
        <v>0</v>
      </c>
      <c r="I5" s="16">
        <v>0</v>
      </c>
      <c r="J5" s="36">
        <v>0</v>
      </c>
      <c r="K5" s="36">
        <v>0</v>
      </c>
      <c r="L5" s="1">
        <v>0</v>
      </c>
      <c r="M5" s="21">
        <v>0</v>
      </c>
      <c r="N5" s="21">
        <v>0</v>
      </c>
      <c r="O5" s="21">
        <v>0</v>
      </c>
      <c r="P5" s="21">
        <v>0</v>
      </c>
    </row>
    <row r="6" spans="1:16" x14ac:dyDescent="0.2">
      <c r="A6" s="42">
        <v>44083</v>
      </c>
      <c r="B6" s="1">
        <v>1</v>
      </c>
      <c r="C6" s="33" t="s">
        <v>29</v>
      </c>
      <c r="D6" s="16">
        <v>3</v>
      </c>
      <c r="E6" s="50" t="s">
        <v>11</v>
      </c>
      <c r="F6" s="16">
        <v>2</v>
      </c>
      <c r="G6" s="16">
        <v>1</v>
      </c>
      <c r="H6" s="56">
        <f t="shared" si="0"/>
        <v>0.5</v>
      </c>
      <c r="I6" s="16">
        <v>1</v>
      </c>
      <c r="J6" s="36">
        <v>0</v>
      </c>
      <c r="K6" s="36">
        <v>0</v>
      </c>
      <c r="L6" s="1">
        <v>0</v>
      </c>
      <c r="M6" s="21">
        <v>0</v>
      </c>
      <c r="N6" s="21">
        <v>0</v>
      </c>
      <c r="O6" s="21">
        <v>0</v>
      </c>
      <c r="P6" s="21">
        <v>0</v>
      </c>
    </row>
    <row r="7" spans="1:16" x14ac:dyDescent="0.2">
      <c r="A7" s="42">
        <v>44097</v>
      </c>
      <c r="B7" s="1">
        <v>2</v>
      </c>
      <c r="C7" s="33" t="s">
        <v>29</v>
      </c>
      <c r="D7" s="16">
        <v>3</v>
      </c>
      <c r="E7" s="50" t="s">
        <v>11</v>
      </c>
      <c r="F7" s="16">
        <v>2</v>
      </c>
      <c r="G7" s="16">
        <v>0</v>
      </c>
      <c r="H7" s="56">
        <f t="shared" si="0"/>
        <v>0</v>
      </c>
      <c r="I7" s="16">
        <v>0</v>
      </c>
      <c r="J7" s="36">
        <v>0</v>
      </c>
      <c r="K7" s="36">
        <v>0</v>
      </c>
      <c r="L7" s="1">
        <v>0</v>
      </c>
      <c r="M7" s="21">
        <v>0</v>
      </c>
      <c r="N7" s="21">
        <v>0</v>
      </c>
      <c r="O7" s="21">
        <v>0</v>
      </c>
      <c r="P7" s="21">
        <v>0</v>
      </c>
    </row>
    <row r="8" spans="1:16" x14ac:dyDescent="0.2">
      <c r="A8" s="42">
        <v>44075</v>
      </c>
      <c r="B8" s="1">
        <v>1</v>
      </c>
      <c r="C8" s="33" t="s">
        <v>30</v>
      </c>
      <c r="D8" s="16">
        <v>4</v>
      </c>
      <c r="E8" s="50" t="s">
        <v>12</v>
      </c>
      <c r="F8" s="16">
        <v>5</v>
      </c>
      <c r="G8" s="16">
        <v>0</v>
      </c>
      <c r="H8" s="56">
        <f t="shared" si="0"/>
        <v>0</v>
      </c>
      <c r="I8" s="16">
        <v>0</v>
      </c>
      <c r="J8" s="36">
        <v>0</v>
      </c>
      <c r="K8" s="36">
        <v>0</v>
      </c>
      <c r="L8" s="1">
        <v>0</v>
      </c>
      <c r="M8" s="21">
        <v>0</v>
      </c>
      <c r="N8" s="21">
        <v>0</v>
      </c>
      <c r="O8" s="21">
        <v>0</v>
      </c>
      <c r="P8" s="21">
        <v>0</v>
      </c>
    </row>
    <row r="9" spans="1:16" x14ac:dyDescent="0.2">
      <c r="A9" s="42">
        <v>44083</v>
      </c>
      <c r="B9" s="1">
        <v>2</v>
      </c>
      <c r="C9" s="33" t="s">
        <v>30</v>
      </c>
      <c r="D9" s="16">
        <v>4</v>
      </c>
      <c r="E9" s="50" t="s">
        <v>12</v>
      </c>
      <c r="F9" s="16">
        <v>5</v>
      </c>
      <c r="G9" s="16">
        <v>0</v>
      </c>
      <c r="H9" s="56">
        <f t="shared" si="0"/>
        <v>0</v>
      </c>
      <c r="I9" s="16">
        <v>0</v>
      </c>
      <c r="J9" s="36">
        <v>0</v>
      </c>
      <c r="K9" s="36">
        <v>0</v>
      </c>
      <c r="L9" s="1">
        <v>0</v>
      </c>
      <c r="M9" s="21">
        <v>0</v>
      </c>
      <c r="N9" s="21">
        <v>0</v>
      </c>
      <c r="O9" s="21">
        <v>0</v>
      </c>
      <c r="P9" s="21">
        <v>0</v>
      </c>
    </row>
    <row r="10" spans="1:16" x14ac:dyDescent="0.2">
      <c r="A10" s="42">
        <v>44089</v>
      </c>
      <c r="B10" s="1">
        <v>3</v>
      </c>
      <c r="C10" s="33" t="s">
        <v>30</v>
      </c>
      <c r="D10" s="16">
        <v>4</v>
      </c>
      <c r="E10" s="50" t="s">
        <v>12</v>
      </c>
      <c r="F10" s="16">
        <v>5</v>
      </c>
      <c r="G10" s="16">
        <v>0</v>
      </c>
      <c r="H10" s="56">
        <f t="shared" si="0"/>
        <v>0</v>
      </c>
      <c r="I10" s="16">
        <v>0</v>
      </c>
      <c r="J10" s="36">
        <v>0</v>
      </c>
      <c r="K10" s="36">
        <v>0</v>
      </c>
      <c r="L10" s="1">
        <v>0</v>
      </c>
      <c r="M10" s="21">
        <v>0</v>
      </c>
      <c r="N10" s="21">
        <v>0</v>
      </c>
      <c r="O10" s="21">
        <v>0</v>
      </c>
      <c r="P10" s="21">
        <v>0</v>
      </c>
    </row>
    <row r="11" spans="1:16" x14ac:dyDescent="0.2">
      <c r="A11" s="42">
        <v>44096</v>
      </c>
      <c r="B11" s="1">
        <v>4</v>
      </c>
      <c r="C11" s="33" t="s">
        <v>30</v>
      </c>
      <c r="D11" s="16">
        <v>4</v>
      </c>
      <c r="E11" s="50" t="s">
        <v>12</v>
      </c>
      <c r="F11" s="16">
        <v>5</v>
      </c>
      <c r="G11" s="16">
        <v>0</v>
      </c>
      <c r="H11" s="56">
        <f>G11/F11</f>
        <v>0</v>
      </c>
      <c r="I11" s="16">
        <v>0</v>
      </c>
      <c r="J11" s="36">
        <v>0</v>
      </c>
      <c r="K11" s="36">
        <v>0</v>
      </c>
      <c r="L11" s="1">
        <v>0</v>
      </c>
      <c r="M11" s="21">
        <v>0</v>
      </c>
      <c r="N11" s="21">
        <v>0</v>
      </c>
      <c r="O11" s="21">
        <v>0</v>
      </c>
      <c r="P11" s="21">
        <v>0</v>
      </c>
    </row>
    <row r="12" spans="1:16" x14ac:dyDescent="0.2">
      <c r="A12" s="42">
        <v>44026</v>
      </c>
      <c r="B12" s="1" t="s">
        <v>127</v>
      </c>
      <c r="C12" s="33" t="s">
        <v>31</v>
      </c>
      <c r="D12" s="16">
        <v>5</v>
      </c>
      <c r="E12" s="50" t="s">
        <v>159</v>
      </c>
      <c r="F12" s="16">
        <v>2</v>
      </c>
      <c r="G12" s="16">
        <v>0</v>
      </c>
      <c r="H12" s="56">
        <f t="shared" si="0"/>
        <v>0</v>
      </c>
      <c r="I12" s="16">
        <v>0</v>
      </c>
      <c r="J12" s="36">
        <v>0</v>
      </c>
      <c r="K12" s="36">
        <v>0</v>
      </c>
      <c r="L12" s="1">
        <v>0</v>
      </c>
      <c r="M12" s="21">
        <v>0</v>
      </c>
      <c r="N12" s="21">
        <v>0</v>
      </c>
      <c r="O12" s="21">
        <v>0</v>
      </c>
      <c r="P12" s="21">
        <v>0</v>
      </c>
    </row>
    <row r="13" spans="1:16" x14ac:dyDescent="0.2">
      <c r="A13" s="42">
        <v>44063</v>
      </c>
      <c r="B13" s="1" t="s">
        <v>127</v>
      </c>
      <c r="C13" s="33" t="s">
        <v>31</v>
      </c>
      <c r="D13" s="16">
        <v>5</v>
      </c>
      <c r="E13" s="50" t="s">
        <v>159</v>
      </c>
      <c r="F13" s="16">
        <v>2</v>
      </c>
      <c r="G13" s="16">
        <v>0</v>
      </c>
      <c r="H13" s="56">
        <f t="shared" si="0"/>
        <v>0</v>
      </c>
      <c r="I13" s="16">
        <v>0</v>
      </c>
      <c r="J13" s="36">
        <v>0</v>
      </c>
      <c r="K13" s="36">
        <v>0</v>
      </c>
      <c r="L13" s="1">
        <v>0</v>
      </c>
      <c r="M13" s="21">
        <v>0</v>
      </c>
      <c r="N13" s="21">
        <v>0</v>
      </c>
      <c r="O13" s="21">
        <v>0</v>
      </c>
      <c r="P13" s="21">
        <v>0</v>
      </c>
    </row>
    <row r="14" spans="1:16" x14ac:dyDescent="0.2">
      <c r="A14" s="42">
        <v>44070</v>
      </c>
      <c r="B14" s="1" t="s">
        <v>127</v>
      </c>
      <c r="C14" s="33" t="s">
        <v>31</v>
      </c>
      <c r="D14" s="16">
        <v>5</v>
      </c>
      <c r="E14" s="50" t="s">
        <v>159</v>
      </c>
      <c r="F14" s="16">
        <v>2</v>
      </c>
      <c r="G14" s="16">
        <v>0</v>
      </c>
      <c r="H14" s="56">
        <f t="shared" si="0"/>
        <v>0</v>
      </c>
      <c r="I14" s="16">
        <v>0</v>
      </c>
      <c r="J14" s="36">
        <v>0</v>
      </c>
      <c r="K14" s="36">
        <v>0</v>
      </c>
      <c r="L14" s="1">
        <v>0</v>
      </c>
      <c r="M14" s="21">
        <v>0</v>
      </c>
      <c r="N14" s="21">
        <v>0</v>
      </c>
      <c r="O14" s="21">
        <v>0</v>
      </c>
      <c r="P14" s="21">
        <v>0</v>
      </c>
    </row>
    <row r="15" spans="1:16" x14ac:dyDescent="0.2">
      <c r="A15" s="42">
        <v>44076</v>
      </c>
      <c r="B15" s="1">
        <v>1</v>
      </c>
      <c r="C15" s="33" t="s">
        <v>31</v>
      </c>
      <c r="D15" s="16">
        <v>5</v>
      </c>
      <c r="E15" s="50" t="s">
        <v>159</v>
      </c>
      <c r="F15" s="16">
        <v>2</v>
      </c>
      <c r="G15" s="16">
        <v>0</v>
      </c>
      <c r="H15" s="56">
        <f t="shared" si="0"/>
        <v>0</v>
      </c>
      <c r="I15" s="16">
        <v>0</v>
      </c>
      <c r="J15" s="36">
        <v>0</v>
      </c>
      <c r="K15" s="36">
        <v>0</v>
      </c>
      <c r="L15" s="1">
        <v>0</v>
      </c>
      <c r="M15" s="21">
        <v>0</v>
      </c>
      <c r="N15" s="21">
        <v>0</v>
      </c>
      <c r="O15" s="21">
        <v>0</v>
      </c>
      <c r="P15" s="21">
        <v>0</v>
      </c>
    </row>
    <row r="16" spans="1:16" x14ac:dyDescent="0.2">
      <c r="A16" s="42">
        <v>44083</v>
      </c>
      <c r="B16" s="1">
        <v>2</v>
      </c>
      <c r="C16" s="33" t="s">
        <v>31</v>
      </c>
      <c r="D16" s="16">
        <v>5</v>
      </c>
      <c r="E16" s="50" t="s">
        <v>159</v>
      </c>
      <c r="F16" s="16">
        <v>2</v>
      </c>
      <c r="G16" s="16">
        <v>0</v>
      </c>
      <c r="H16" s="56">
        <f t="shared" si="0"/>
        <v>0</v>
      </c>
      <c r="I16" s="16">
        <v>0</v>
      </c>
      <c r="J16" s="36">
        <v>0</v>
      </c>
      <c r="K16" s="36">
        <v>0</v>
      </c>
      <c r="L16" s="1">
        <v>0</v>
      </c>
      <c r="M16" s="21">
        <v>0</v>
      </c>
      <c r="N16" s="21">
        <v>0</v>
      </c>
      <c r="O16" s="21">
        <v>0</v>
      </c>
      <c r="P16" s="21">
        <v>0</v>
      </c>
    </row>
    <row r="17" spans="1:16" x14ac:dyDescent="0.2">
      <c r="A17" s="42">
        <v>44091</v>
      </c>
      <c r="B17" s="1">
        <v>3</v>
      </c>
      <c r="C17" s="33" t="s">
        <v>31</v>
      </c>
      <c r="D17" s="16">
        <v>5</v>
      </c>
      <c r="E17" s="50" t="s">
        <v>159</v>
      </c>
      <c r="F17" s="16">
        <v>2</v>
      </c>
      <c r="G17" s="16">
        <v>0</v>
      </c>
      <c r="H17" s="56">
        <f>G17/F17</f>
        <v>0</v>
      </c>
      <c r="I17" s="16">
        <v>0</v>
      </c>
      <c r="J17" s="36">
        <v>0</v>
      </c>
      <c r="K17" s="36">
        <v>0</v>
      </c>
      <c r="L17" s="1">
        <v>0</v>
      </c>
      <c r="M17" s="21">
        <v>0</v>
      </c>
      <c r="N17" s="21">
        <v>0</v>
      </c>
      <c r="O17" s="21">
        <v>0</v>
      </c>
      <c r="P17" s="21">
        <v>0</v>
      </c>
    </row>
    <row r="18" spans="1:16" x14ac:dyDescent="0.2">
      <c r="A18" s="57">
        <v>44026</v>
      </c>
      <c r="B18" s="1" t="s">
        <v>127</v>
      </c>
      <c r="C18" s="33" t="s">
        <v>32</v>
      </c>
      <c r="D18" s="16">
        <v>6</v>
      </c>
      <c r="E18" s="50" t="s">
        <v>14</v>
      </c>
      <c r="F18" s="16">
        <v>4</v>
      </c>
      <c r="G18" s="16">
        <v>0</v>
      </c>
      <c r="H18" s="56">
        <f t="shared" si="0"/>
        <v>0</v>
      </c>
      <c r="I18" s="16">
        <v>0</v>
      </c>
      <c r="J18" s="36">
        <v>0</v>
      </c>
      <c r="K18" s="36">
        <v>0</v>
      </c>
      <c r="L18" s="1">
        <v>0</v>
      </c>
      <c r="M18" s="21">
        <v>0</v>
      </c>
      <c r="N18" s="21">
        <v>0</v>
      </c>
      <c r="O18" s="21">
        <v>0</v>
      </c>
      <c r="P18" s="21">
        <v>0</v>
      </c>
    </row>
    <row r="19" spans="1:16" x14ac:dyDescent="0.2">
      <c r="A19" s="57">
        <v>44063</v>
      </c>
      <c r="B19" s="1" t="s">
        <v>127</v>
      </c>
      <c r="C19" s="33" t="s">
        <v>32</v>
      </c>
      <c r="D19" s="16">
        <v>6</v>
      </c>
      <c r="E19" s="50" t="s">
        <v>14</v>
      </c>
      <c r="F19" s="16">
        <v>4</v>
      </c>
      <c r="G19" s="16">
        <v>0</v>
      </c>
      <c r="H19" s="56">
        <f t="shared" si="0"/>
        <v>0</v>
      </c>
      <c r="I19" s="16">
        <v>0</v>
      </c>
      <c r="J19" s="36">
        <v>0</v>
      </c>
      <c r="K19" s="36">
        <v>0</v>
      </c>
      <c r="L19" s="1">
        <v>0</v>
      </c>
      <c r="M19" s="21">
        <v>0</v>
      </c>
      <c r="N19" s="21">
        <v>0</v>
      </c>
      <c r="O19" s="21">
        <v>0</v>
      </c>
      <c r="P19" s="21">
        <v>0</v>
      </c>
    </row>
    <row r="20" spans="1:16" x14ac:dyDescent="0.2">
      <c r="A20" s="57">
        <v>44070</v>
      </c>
      <c r="B20" s="1" t="s">
        <v>127</v>
      </c>
      <c r="C20" s="33" t="s">
        <v>32</v>
      </c>
      <c r="D20" s="16">
        <v>6</v>
      </c>
      <c r="E20" s="50" t="s">
        <v>14</v>
      </c>
      <c r="F20" s="16">
        <v>4</v>
      </c>
      <c r="G20" s="16">
        <v>0</v>
      </c>
      <c r="H20" s="56">
        <f t="shared" si="0"/>
        <v>0</v>
      </c>
      <c r="I20" s="16">
        <v>0</v>
      </c>
      <c r="J20" s="36">
        <v>0</v>
      </c>
      <c r="K20" s="36">
        <v>0</v>
      </c>
      <c r="L20" s="1">
        <v>0</v>
      </c>
      <c r="M20" s="21">
        <v>0</v>
      </c>
      <c r="N20" s="21">
        <v>0</v>
      </c>
      <c r="O20" s="21">
        <v>0</v>
      </c>
      <c r="P20" s="21">
        <v>0</v>
      </c>
    </row>
    <row r="21" spans="1:16" x14ac:dyDescent="0.2">
      <c r="A21" s="57">
        <v>44076</v>
      </c>
      <c r="B21" s="1">
        <v>1</v>
      </c>
      <c r="C21" s="33" t="s">
        <v>32</v>
      </c>
      <c r="D21" s="16">
        <v>6</v>
      </c>
      <c r="E21" s="50" t="s">
        <v>14</v>
      </c>
      <c r="F21" s="16">
        <v>4</v>
      </c>
      <c r="G21" s="16">
        <v>0</v>
      </c>
      <c r="H21" s="56">
        <f t="shared" si="0"/>
        <v>0</v>
      </c>
      <c r="I21" s="16">
        <v>0</v>
      </c>
      <c r="J21" s="36">
        <v>0</v>
      </c>
      <c r="K21" s="36">
        <v>0</v>
      </c>
      <c r="L21" s="1">
        <v>0</v>
      </c>
      <c r="M21" s="21">
        <v>0</v>
      </c>
      <c r="N21" s="21">
        <v>0</v>
      </c>
      <c r="O21" s="21">
        <v>0</v>
      </c>
      <c r="P21" s="21">
        <v>0</v>
      </c>
    </row>
    <row r="22" spans="1:16" x14ac:dyDescent="0.2">
      <c r="A22" s="57">
        <v>44083</v>
      </c>
      <c r="B22" s="1">
        <v>2</v>
      </c>
      <c r="C22" s="33" t="s">
        <v>32</v>
      </c>
      <c r="D22" s="16">
        <v>6</v>
      </c>
      <c r="E22" s="50" t="s">
        <v>14</v>
      </c>
      <c r="F22" s="16">
        <v>4</v>
      </c>
      <c r="G22" s="16">
        <v>0</v>
      </c>
      <c r="H22" s="56">
        <f t="shared" si="0"/>
        <v>0</v>
      </c>
      <c r="I22" s="16">
        <v>0</v>
      </c>
      <c r="J22" s="36">
        <v>0</v>
      </c>
      <c r="K22" s="36">
        <v>0</v>
      </c>
      <c r="L22" s="1">
        <v>0</v>
      </c>
      <c r="M22" s="21">
        <v>0</v>
      </c>
      <c r="N22" s="21">
        <v>0</v>
      </c>
      <c r="O22" s="21">
        <v>0</v>
      </c>
      <c r="P22" s="21">
        <v>0</v>
      </c>
    </row>
    <row r="23" spans="1:16" x14ac:dyDescent="0.2">
      <c r="A23" s="57">
        <v>44091</v>
      </c>
      <c r="B23" s="1">
        <v>3</v>
      </c>
      <c r="C23" s="33" t="s">
        <v>32</v>
      </c>
      <c r="D23" s="16">
        <v>6</v>
      </c>
      <c r="E23" s="50" t="s">
        <v>14</v>
      </c>
      <c r="F23" s="16">
        <v>4</v>
      </c>
      <c r="G23" s="16">
        <v>0</v>
      </c>
      <c r="H23" s="56">
        <f>G23/F23</f>
        <v>0</v>
      </c>
      <c r="I23" s="16">
        <v>0</v>
      </c>
      <c r="J23" s="36">
        <v>0</v>
      </c>
      <c r="K23" s="36">
        <v>0</v>
      </c>
      <c r="L23" s="1">
        <v>0</v>
      </c>
      <c r="M23" s="21">
        <v>0</v>
      </c>
      <c r="N23" s="21">
        <v>0</v>
      </c>
      <c r="O23" s="21">
        <v>0</v>
      </c>
      <c r="P23" s="21">
        <v>0</v>
      </c>
    </row>
    <row r="24" spans="1:16" x14ac:dyDescent="0.2">
      <c r="A24" s="57">
        <v>44014</v>
      </c>
      <c r="B24" s="1" t="s">
        <v>127</v>
      </c>
      <c r="C24" s="33" t="s">
        <v>33</v>
      </c>
      <c r="D24" s="16">
        <v>7</v>
      </c>
      <c r="E24" s="50" t="s">
        <v>15</v>
      </c>
      <c r="F24" s="16">
        <v>3</v>
      </c>
      <c r="G24" s="33">
        <v>0</v>
      </c>
      <c r="H24" s="51">
        <f t="shared" si="0"/>
        <v>0</v>
      </c>
      <c r="I24" s="16">
        <v>0</v>
      </c>
      <c r="J24" s="36">
        <v>0</v>
      </c>
      <c r="K24" s="36">
        <v>0</v>
      </c>
      <c r="L24" s="1">
        <v>0</v>
      </c>
      <c r="M24" s="21">
        <v>0</v>
      </c>
      <c r="N24" s="21">
        <v>0</v>
      </c>
      <c r="O24" s="21">
        <v>0</v>
      </c>
      <c r="P24" s="21">
        <v>0</v>
      </c>
    </row>
    <row r="25" spans="1:16" x14ac:dyDescent="0.2">
      <c r="A25" s="57">
        <v>44026</v>
      </c>
      <c r="B25" s="1" t="s">
        <v>127</v>
      </c>
      <c r="C25" s="33" t="s">
        <v>33</v>
      </c>
      <c r="D25" s="16">
        <v>7</v>
      </c>
      <c r="E25" s="50" t="s">
        <v>15</v>
      </c>
      <c r="F25" s="16">
        <v>3</v>
      </c>
      <c r="G25" s="33">
        <v>0</v>
      </c>
      <c r="H25" s="51">
        <f t="shared" si="0"/>
        <v>0</v>
      </c>
      <c r="I25" s="16">
        <v>0</v>
      </c>
      <c r="J25" s="36">
        <v>0</v>
      </c>
      <c r="K25" s="36">
        <v>0</v>
      </c>
      <c r="L25" s="1">
        <v>0</v>
      </c>
      <c r="M25" s="21">
        <v>0</v>
      </c>
      <c r="N25" s="21">
        <v>0</v>
      </c>
      <c r="O25" s="21">
        <v>0</v>
      </c>
      <c r="P25" s="21">
        <v>0</v>
      </c>
    </row>
    <row r="26" spans="1:16" x14ac:dyDescent="0.2">
      <c r="A26" s="57">
        <v>44035</v>
      </c>
      <c r="B26" s="1" t="s">
        <v>127</v>
      </c>
      <c r="C26" s="33" t="s">
        <v>33</v>
      </c>
      <c r="D26" s="16">
        <v>7</v>
      </c>
      <c r="E26" s="50" t="s">
        <v>15</v>
      </c>
      <c r="F26" s="16">
        <v>3</v>
      </c>
      <c r="G26" s="33">
        <v>0</v>
      </c>
      <c r="H26" s="51">
        <f t="shared" si="0"/>
        <v>0</v>
      </c>
      <c r="I26" s="16">
        <v>0</v>
      </c>
      <c r="J26" s="36">
        <v>0</v>
      </c>
      <c r="K26" s="36">
        <v>0</v>
      </c>
      <c r="L26" s="1">
        <v>0</v>
      </c>
      <c r="M26" s="21">
        <v>0</v>
      </c>
      <c r="N26" s="21">
        <v>0</v>
      </c>
      <c r="O26" s="21">
        <v>0</v>
      </c>
      <c r="P26" s="21">
        <v>0</v>
      </c>
    </row>
    <row r="27" spans="1:16" x14ac:dyDescent="0.2">
      <c r="A27" s="42">
        <v>44056</v>
      </c>
      <c r="B27" s="1" t="s">
        <v>127</v>
      </c>
      <c r="C27" s="33" t="s">
        <v>33</v>
      </c>
      <c r="D27" s="16">
        <v>7</v>
      </c>
      <c r="E27" s="50" t="s">
        <v>15</v>
      </c>
      <c r="F27" s="16">
        <v>3</v>
      </c>
      <c r="G27" s="33">
        <v>0</v>
      </c>
      <c r="H27" s="51">
        <f t="shared" si="0"/>
        <v>0</v>
      </c>
      <c r="I27" s="40">
        <v>1</v>
      </c>
      <c r="J27" s="40">
        <v>0</v>
      </c>
      <c r="K27" s="40">
        <v>0</v>
      </c>
      <c r="L27" s="40">
        <v>0</v>
      </c>
      <c r="M27" s="40">
        <v>0</v>
      </c>
      <c r="N27" s="40">
        <v>0</v>
      </c>
      <c r="O27" s="40">
        <v>0</v>
      </c>
      <c r="P27" s="40">
        <v>0</v>
      </c>
    </row>
    <row r="28" spans="1:16" x14ac:dyDescent="0.2">
      <c r="A28" s="42">
        <v>44063</v>
      </c>
      <c r="B28" s="1" t="s">
        <v>127</v>
      </c>
      <c r="C28" s="33" t="s">
        <v>33</v>
      </c>
      <c r="D28" s="16">
        <v>7</v>
      </c>
      <c r="E28" s="50" t="s">
        <v>15</v>
      </c>
      <c r="F28" s="16">
        <v>3</v>
      </c>
      <c r="G28" s="33">
        <v>0</v>
      </c>
      <c r="H28" s="51">
        <f t="shared" si="0"/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</row>
    <row r="29" spans="1:16" x14ac:dyDescent="0.2">
      <c r="A29" s="42">
        <v>44069</v>
      </c>
      <c r="B29" s="1" t="s">
        <v>127</v>
      </c>
      <c r="C29" s="33" t="s">
        <v>33</v>
      </c>
      <c r="D29" s="16">
        <v>7</v>
      </c>
      <c r="E29" s="50" t="s">
        <v>15</v>
      </c>
      <c r="F29" s="16">
        <v>3</v>
      </c>
      <c r="G29" s="33">
        <v>0</v>
      </c>
      <c r="H29" s="51">
        <f t="shared" si="0"/>
        <v>0</v>
      </c>
      <c r="I29" s="40">
        <v>1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40">
        <v>0</v>
      </c>
    </row>
    <row r="30" spans="1:16" x14ac:dyDescent="0.2">
      <c r="A30" s="42">
        <v>44076</v>
      </c>
      <c r="B30" s="1">
        <v>1</v>
      </c>
      <c r="C30" s="33" t="s">
        <v>33</v>
      </c>
      <c r="D30" s="16">
        <v>7</v>
      </c>
      <c r="E30" s="50" t="s">
        <v>15</v>
      </c>
      <c r="F30" s="16">
        <v>3</v>
      </c>
      <c r="G30" s="33">
        <v>0</v>
      </c>
      <c r="H30" s="51">
        <f t="shared" si="0"/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</row>
    <row r="31" spans="1:16" x14ac:dyDescent="0.2">
      <c r="A31" s="42">
        <v>44083</v>
      </c>
      <c r="B31" s="1">
        <v>2</v>
      </c>
      <c r="C31" s="33" t="s">
        <v>33</v>
      </c>
      <c r="D31" s="16">
        <v>7</v>
      </c>
      <c r="E31" s="50" t="s">
        <v>15</v>
      </c>
      <c r="F31" s="16">
        <v>3</v>
      </c>
      <c r="G31" s="33">
        <v>1</v>
      </c>
      <c r="H31" s="51">
        <f t="shared" si="0"/>
        <v>0.33333333333333331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40">
        <v>0</v>
      </c>
    </row>
    <row r="32" spans="1:16" x14ac:dyDescent="0.2">
      <c r="A32" s="42">
        <v>44091</v>
      </c>
      <c r="B32" s="1">
        <v>3</v>
      </c>
      <c r="C32" s="33" t="s">
        <v>33</v>
      </c>
      <c r="D32" s="16">
        <v>7</v>
      </c>
      <c r="E32" s="50" t="s">
        <v>15</v>
      </c>
      <c r="F32" s="16">
        <v>3</v>
      </c>
      <c r="G32" s="33">
        <v>0</v>
      </c>
      <c r="H32" s="51">
        <f t="shared" si="0"/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</row>
    <row r="33" spans="1:17" x14ac:dyDescent="0.2">
      <c r="A33" s="42">
        <v>44098</v>
      </c>
      <c r="B33" s="1">
        <v>4</v>
      </c>
      <c r="C33" s="33" t="s">
        <v>33</v>
      </c>
      <c r="D33" s="16">
        <v>7</v>
      </c>
      <c r="E33" s="50" t="s">
        <v>15</v>
      </c>
      <c r="F33" s="16">
        <v>3</v>
      </c>
      <c r="G33" s="33">
        <v>0</v>
      </c>
      <c r="H33" s="51">
        <f>G33/F33</f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40">
        <v>0</v>
      </c>
    </row>
    <row r="34" spans="1:17" x14ac:dyDescent="0.2">
      <c r="A34" s="42">
        <v>44014</v>
      </c>
      <c r="B34" s="1" t="s">
        <v>127</v>
      </c>
      <c r="C34" s="33" t="s">
        <v>34</v>
      </c>
      <c r="D34" s="16">
        <v>8</v>
      </c>
      <c r="E34" s="50" t="s">
        <v>16</v>
      </c>
      <c r="F34" s="33">
        <v>3</v>
      </c>
      <c r="G34" s="33">
        <v>0</v>
      </c>
      <c r="H34" s="51">
        <f t="shared" si="0"/>
        <v>0</v>
      </c>
      <c r="I34" s="40">
        <v>5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</row>
    <row r="35" spans="1:17" x14ac:dyDescent="0.2">
      <c r="A35" s="42">
        <v>44026</v>
      </c>
      <c r="B35" s="1" t="s">
        <v>127</v>
      </c>
      <c r="C35" s="33" t="s">
        <v>34</v>
      </c>
      <c r="D35" s="16">
        <v>8</v>
      </c>
      <c r="E35" s="50" t="s">
        <v>16</v>
      </c>
      <c r="F35" s="33">
        <v>3</v>
      </c>
      <c r="G35" s="33">
        <v>0</v>
      </c>
      <c r="H35" s="51">
        <f t="shared" si="0"/>
        <v>0</v>
      </c>
      <c r="I35" s="40">
        <v>4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</row>
    <row r="36" spans="1:17" x14ac:dyDescent="0.2">
      <c r="A36" s="42">
        <v>44035</v>
      </c>
      <c r="B36" s="1" t="s">
        <v>127</v>
      </c>
      <c r="C36" s="33" t="s">
        <v>34</v>
      </c>
      <c r="D36" s="16">
        <v>8</v>
      </c>
      <c r="E36" s="50" t="s">
        <v>16</v>
      </c>
      <c r="F36" s="33">
        <v>3</v>
      </c>
      <c r="G36" s="33">
        <v>0</v>
      </c>
      <c r="H36" s="51">
        <f t="shared" si="0"/>
        <v>0</v>
      </c>
      <c r="I36" s="40">
        <v>2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</row>
    <row r="37" spans="1:17" x14ac:dyDescent="0.2">
      <c r="A37" s="42">
        <v>44047</v>
      </c>
      <c r="B37" s="1" t="s">
        <v>127</v>
      </c>
      <c r="C37" s="33" t="s">
        <v>34</v>
      </c>
      <c r="D37" s="16">
        <v>8</v>
      </c>
      <c r="E37" s="50" t="s">
        <v>16</v>
      </c>
      <c r="F37" s="33">
        <v>3</v>
      </c>
      <c r="G37" s="33">
        <v>0</v>
      </c>
      <c r="H37" s="51">
        <f t="shared" si="0"/>
        <v>0</v>
      </c>
      <c r="I37" s="40">
        <v>1</v>
      </c>
      <c r="J37" s="40">
        <v>1</v>
      </c>
      <c r="K37" s="40">
        <v>0</v>
      </c>
      <c r="L37" s="40">
        <v>0</v>
      </c>
      <c r="M37" s="40">
        <v>1</v>
      </c>
      <c r="N37" s="40">
        <v>0</v>
      </c>
      <c r="O37" s="40">
        <v>0</v>
      </c>
      <c r="P37" s="40">
        <v>0</v>
      </c>
    </row>
    <row r="38" spans="1:17" x14ac:dyDescent="0.2">
      <c r="A38" s="42">
        <v>44056</v>
      </c>
      <c r="B38" s="1" t="s">
        <v>127</v>
      </c>
      <c r="C38" s="33" t="s">
        <v>34</v>
      </c>
      <c r="D38" s="16">
        <v>8</v>
      </c>
      <c r="E38" s="50" t="s">
        <v>16</v>
      </c>
      <c r="F38" s="33">
        <v>3</v>
      </c>
      <c r="G38" s="33">
        <v>0</v>
      </c>
      <c r="H38" s="51">
        <f t="shared" si="0"/>
        <v>0</v>
      </c>
      <c r="I38" s="40">
        <v>1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</row>
    <row r="39" spans="1:17" x14ac:dyDescent="0.2">
      <c r="A39" s="42">
        <v>44063</v>
      </c>
      <c r="B39" s="1" t="s">
        <v>127</v>
      </c>
      <c r="C39" s="33" t="s">
        <v>34</v>
      </c>
      <c r="D39" s="16">
        <v>8</v>
      </c>
      <c r="E39" s="50" t="s">
        <v>16</v>
      </c>
      <c r="F39" s="33">
        <v>3</v>
      </c>
      <c r="G39" s="33">
        <v>0</v>
      </c>
      <c r="H39" s="51">
        <f t="shared" ref="H39:H47" si="1">G39/F39</f>
        <v>0</v>
      </c>
      <c r="I39" s="40">
        <v>6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v>0</v>
      </c>
    </row>
    <row r="40" spans="1:17" x14ac:dyDescent="0.2">
      <c r="A40" s="42">
        <v>44069</v>
      </c>
      <c r="B40" s="1" t="s">
        <v>127</v>
      </c>
      <c r="C40" s="33" t="s">
        <v>34</v>
      </c>
      <c r="D40" s="16">
        <v>8</v>
      </c>
      <c r="E40" s="50" t="s">
        <v>16</v>
      </c>
      <c r="F40" s="33">
        <v>3</v>
      </c>
      <c r="G40" s="33">
        <v>0</v>
      </c>
      <c r="H40" s="51">
        <f t="shared" si="1"/>
        <v>0</v>
      </c>
      <c r="I40" s="40">
        <v>7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</row>
    <row r="41" spans="1:17" x14ac:dyDescent="0.2">
      <c r="A41" s="42">
        <v>44076</v>
      </c>
      <c r="B41" s="1">
        <v>1</v>
      </c>
      <c r="C41" s="33" t="s">
        <v>34</v>
      </c>
      <c r="D41" s="16">
        <v>8</v>
      </c>
      <c r="E41" s="50" t="s">
        <v>16</v>
      </c>
      <c r="F41" s="33">
        <v>3</v>
      </c>
      <c r="G41" s="33">
        <v>1</v>
      </c>
      <c r="H41" s="51">
        <f t="shared" si="1"/>
        <v>0.33333333333333331</v>
      </c>
      <c r="I41" s="40">
        <v>2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  <c r="O41" s="40">
        <v>0</v>
      </c>
      <c r="P41" s="40">
        <v>2</v>
      </c>
      <c r="Q41" t="s">
        <v>169</v>
      </c>
    </row>
    <row r="42" spans="1:17" x14ac:dyDescent="0.2">
      <c r="A42" s="42">
        <v>44083</v>
      </c>
      <c r="B42" s="1">
        <v>2</v>
      </c>
      <c r="C42" s="33" t="s">
        <v>34</v>
      </c>
      <c r="D42" s="16">
        <v>8</v>
      </c>
      <c r="E42" s="50" t="s">
        <v>16</v>
      </c>
      <c r="F42" s="33">
        <v>3</v>
      </c>
      <c r="G42" s="33">
        <v>3</v>
      </c>
      <c r="H42" s="51">
        <f t="shared" si="1"/>
        <v>1</v>
      </c>
      <c r="I42" s="40">
        <v>4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1</v>
      </c>
      <c r="Q42" t="s">
        <v>169</v>
      </c>
    </row>
    <row r="43" spans="1:17" x14ac:dyDescent="0.2">
      <c r="A43" s="42">
        <v>44091</v>
      </c>
      <c r="B43" s="1">
        <v>3</v>
      </c>
      <c r="C43" s="33" t="s">
        <v>34</v>
      </c>
      <c r="D43" s="16">
        <v>8</v>
      </c>
      <c r="E43" s="50" t="s">
        <v>16</v>
      </c>
      <c r="F43" s="33">
        <v>3</v>
      </c>
      <c r="G43" s="33">
        <v>3</v>
      </c>
      <c r="H43" s="51">
        <f t="shared" si="1"/>
        <v>1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 s="40">
        <v>0</v>
      </c>
      <c r="O43" s="40">
        <v>0</v>
      </c>
      <c r="P43" s="40">
        <v>0</v>
      </c>
    </row>
    <row r="44" spans="1:17" x14ac:dyDescent="0.2">
      <c r="A44" s="42">
        <v>44098</v>
      </c>
      <c r="B44" s="1">
        <v>4</v>
      </c>
      <c r="C44" s="33" t="s">
        <v>34</v>
      </c>
      <c r="D44" s="16">
        <v>8</v>
      </c>
      <c r="E44" s="50" t="s">
        <v>16</v>
      </c>
      <c r="F44" s="33">
        <v>3</v>
      </c>
      <c r="G44" s="33">
        <v>1</v>
      </c>
      <c r="H44" s="51">
        <f t="shared" si="1"/>
        <v>0.33333333333333331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</row>
    <row r="45" spans="1:17" x14ac:dyDescent="0.2">
      <c r="A45" s="42">
        <v>44020</v>
      </c>
      <c r="B45" s="1" t="s">
        <v>127</v>
      </c>
      <c r="C45" s="33" t="s">
        <v>35</v>
      </c>
      <c r="D45" s="16">
        <v>9</v>
      </c>
      <c r="E45" s="50" t="s">
        <v>17</v>
      </c>
      <c r="F45" s="16">
        <v>4</v>
      </c>
      <c r="G45" s="33">
        <v>0</v>
      </c>
      <c r="H45" s="51">
        <f t="shared" si="1"/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40">
        <v>0</v>
      </c>
    </row>
    <row r="46" spans="1:17" x14ac:dyDescent="0.2">
      <c r="A46" s="42">
        <v>44035</v>
      </c>
      <c r="B46" s="1" t="s">
        <v>127</v>
      </c>
      <c r="C46" s="33" t="s">
        <v>35</v>
      </c>
      <c r="D46" s="16">
        <v>9</v>
      </c>
      <c r="E46" s="50" t="s">
        <v>17</v>
      </c>
      <c r="F46" s="16">
        <v>4</v>
      </c>
      <c r="G46" s="33">
        <v>0</v>
      </c>
      <c r="H46" s="51">
        <f t="shared" si="1"/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</row>
    <row r="47" spans="1:17" x14ac:dyDescent="0.2">
      <c r="A47" s="42">
        <v>44047</v>
      </c>
      <c r="B47" s="1" t="s">
        <v>127</v>
      </c>
      <c r="C47" s="33" t="s">
        <v>35</v>
      </c>
      <c r="D47" s="16">
        <v>9</v>
      </c>
      <c r="E47" s="50" t="s">
        <v>17</v>
      </c>
      <c r="F47" s="16">
        <v>4</v>
      </c>
      <c r="G47" s="33">
        <v>0</v>
      </c>
      <c r="H47" s="51">
        <f t="shared" si="1"/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  <c r="P47" s="40">
        <v>0</v>
      </c>
    </row>
    <row r="48" spans="1:17" x14ac:dyDescent="0.2">
      <c r="A48" s="42">
        <v>44056</v>
      </c>
      <c r="B48" s="1" t="s">
        <v>127</v>
      </c>
      <c r="C48" s="33" t="s">
        <v>35</v>
      </c>
      <c r="D48" s="16">
        <v>9</v>
      </c>
      <c r="E48" s="50" t="s">
        <v>17</v>
      </c>
      <c r="F48" s="16">
        <v>4</v>
      </c>
      <c r="G48" s="33">
        <v>0</v>
      </c>
      <c r="H48" s="51">
        <f t="shared" ref="H48:H67" si="2">G48/F48</f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/>
    </row>
    <row r="49" spans="1:17" x14ac:dyDescent="0.2">
      <c r="A49" s="42">
        <v>44069</v>
      </c>
      <c r="B49" s="1" t="s">
        <v>127</v>
      </c>
      <c r="C49" s="33" t="s">
        <v>35</v>
      </c>
      <c r="D49" s="16">
        <v>9</v>
      </c>
      <c r="E49" s="50" t="s">
        <v>17</v>
      </c>
      <c r="F49" s="16">
        <v>4</v>
      </c>
      <c r="G49" s="33">
        <v>0</v>
      </c>
      <c r="H49" s="51">
        <f t="shared" si="2"/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/>
    </row>
    <row r="50" spans="1:17" x14ac:dyDescent="0.2">
      <c r="A50" s="42">
        <v>44083</v>
      </c>
      <c r="B50" s="1">
        <v>1</v>
      </c>
      <c r="C50" s="33" t="s">
        <v>35</v>
      </c>
      <c r="D50" s="16">
        <v>9</v>
      </c>
      <c r="E50" s="50" t="s">
        <v>17</v>
      </c>
      <c r="F50" s="16">
        <v>4</v>
      </c>
      <c r="G50" s="33">
        <v>2</v>
      </c>
      <c r="H50" s="51">
        <f t="shared" si="2"/>
        <v>0.5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/>
    </row>
    <row r="51" spans="1:17" x14ac:dyDescent="0.2">
      <c r="A51" s="42">
        <v>44092</v>
      </c>
      <c r="B51" s="1">
        <v>2</v>
      </c>
      <c r="C51" s="33" t="s">
        <v>35</v>
      </c>
      <c r="D51" s="16">
        <v>9</v>
      </c>
      <c r="E51" s="50" t="s">
        <v>17</v>
      </c>
      <c r="F51" s="16">
        <v>4</v>
      </c>
      <c r="G51" s="33">
        <v>0</v>
      </c>
      <c r="H51" s="51">
        <f t="shared" si="2"/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  <c r="Q51" s="40"/>
    </row>
    <row r="52" spans="1:17" x14ac:dyDescent="0.2">
      <c r="A52" s="42">
        <v>44076</v>
      </c>
      <c r="B52" s="1">
        <v>1</v>
      </c>
      <c r="C52" s="33" t="s">
        <v>36</v>
      </c>
      <c r="D52" s="16">
        <v>10</v>
      </c>
      <c r="E52" s="50" t="s">
        <v>18</v>
      </c>
      <c r="F52" s="46">
        <v>5</v>
      </c>
      <c r="G52" s="33">
        <v>0</v>
      </c>
      <c r="H52" s="51">
        <f t="shared" si="2"/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</row>
    <row r="53" spans="1:17" x14ac:dyDescent="0.2">
      <c r="A53" s="42">
        <v>44085</v>
      </c>
      <c r="B53" s="1">
        <v>2</v>
      </c>
      <c r="C53" s="33" t="s">
        <v>36</v>
      </c>
      <c r="D53" s="16">
        <v>10</v>
      </c>
      <c r="E53" s="50" t="s">
        <v>18</v>
      </c>
      <c r="F53" s="46">
        <v>5</v>
      </c>
      <c r="G53" s="33">
        <v>0</v>
      </c>
      <c r="H53" s="51">
        <f t="shared" si="2"/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s="40">
        <v>0</v>
      </c>
    </row>
    <row r="54" spans="1:17" x14ac:dyDescent="0.2">
      <c r="A54" s="42">
        <v>44091</v>
      </c>
      <c r="B54" s="1">
        <v>3</v>
      </c>
      <c r="C54" s="33" t="s">
        <v>36</v>
      </c>
      <c r="D54" s="16">
        <v>10</v>
      </c>
      <c r="E54" s="50" t="s">
        <v>18</v>
      </c>
      <c r="F54" s="46">
        <v>5</v>
      </c>
      <c r="G54" s="33">
        <v>0</v>
      </c>
      <c r="H54" s="51">
        <f>G54/F54</f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</row>
    <row r="55" spans="1:17" x14ac:dyDescent="0.2">
      <c r="A55" s="42">
        <v>44091</v>
      </c>
      <c r="B55" s="1">
        <v>1</v>
      </c>
      <c r="C55" s="33" t="s">
        <v>37</v>
      </c>
      <c r="D55" s="16">
        <v>11</v>
      </c>
      <c r="E55" s="50" t="s">
        <v>19</v>
      </c>
      <c r="F55" s="16">
        <v>4</v>
      </c>
      <c r="G55" s="33">
        <v>0</v>
      </c>
      <c r="H55" s="51">
        <f t="shared" si="2"/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0">
        <v>0</v>
      </c>
      <c r="P55" s="40">
        <v>0</v>
      </c>
    </row>
    <row r="56" spans="1:17" x14ac:dyDescent="0.2">
      <c r="A56" s="42">
        <v>44098</v>
      </c>
      <c r="B56" s="1">
        <v>1</v>
      </c>
      <c r="C56" s="33" t="s">
        <v>38</v>
      </c>
      <c r="D56" s="16">
        <v>12</v>
      </c>
      <c r="E56" s="50" t="s">
        <v>20</v>
      </c>
      <c r="F56" s="46">
        <v>3</v>
      </c>
      <c r="G56" s="33">
        <v>0</v>
      </c>
      <c r="H56" s="51">
        <f t="shared" si="2"/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</row>
    <row r="57" spans="1:17" x14ac:dyDescent="0.2">
      <c r="A57" s="42">
        <v>44098</v>
      </c>
      <c r="B57" s="1">
        <v>1</v>
      </c>
      <c r="C57" s="33" t="s">
        <v>124</v>
      </c>
      <c r="D57" s="16">
        <v>13</v>
      </c>
      <c r="E57" s="50" t="s">
        <v>21</v>
      </c>
      <c r="F57" s="16">
        <v>3</v>
      </c>
      <c r="G57" s="33">
        <v>0</v>
      </c>
      <c r="H57" s="51">
        <f t="shared" si="2"/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0">
        <v>0</v>
      </c>
    </row>
    <row r="58" spans="1:17" x14ac:dyDescent="0.2">
      <c r="A58" s="42">
        <v>44098</v>
      </c>
      <c r="B58" s="1">
        <v>1</v>
      </c>
      <c r="C58" s="33" t="s">
        <v>123</v>
      </c>
      <c r="D58" s="16">
        <v>14</v>
      </c>
      <c r="E58" s="50" t="s">
        <v>22</v>
      </c>
      <c r="F58" s="16">
        <v>3</v>
      </c>
      <c r="G58" s="33">
        <v>1</v>
      </c>
      <c r="H58" s="51">
        <f t="shared" si="2"/>
        <v>0.33333333333333331</v>
      </c>
      <c r="I58" s="40">
        <v>0</v>
      </c>
      <c r="J58" s="40">
        <v>0</v>
      </c>
      <c r="K58" s="40">
        <v>1</v>
      </c>
      <c r="L58" s="40">
        <v>0</v>
      </c>
      <c r="M58" s="40">
        <v>0</v>
      </c>
      <c r="N58" s="40">
        <v>0</v>
      </c>
      <c r="O58" s="40">
        <v>1</v>
      </c>
      <c r="P58" s="40">
        <v>0</v>
      </c>
    </row>
    <row r="59" spans="1:17" x14ac:dyDescent="0.2">
      <c r="A59" s="42">
        <v>44098</v>
      </c>
      <c r="B59" s="40">
        <v>1</v>
      </c>
      <c r="C59" s="33" t="s">
        <v>40</v>
      </c>
      <c r="D59" s="16">
        <v>15</v>
      </c>
      <c r="E59" s="50" t="s">
        <v>125</v>
      </c>
      <c r="F59" s="16">
        <v>6</v>
      </c>
      <c r="G59" s="33">
        <v>1</v>
      </c>
      <c r="H59" s="51">
        <f t="shared" si="2"/>
        <v>0.16666666666666666</v>
      </c>
      <c r="I59" s="40">
        <v>2</v>
      </c>
      <c r="J59" s="40">
        <v>0</v>
      </c>
      <c r="K59" s="40">
        <v>1</v>
      </c>
      <c r="L59" s="40">
        <v>0</v>
      </c>
      <c r="M59" s="40">
        <v>0</v>
      </c>
      <c r="N59" s="40">
        <v>1</v>
      </c>
      <c r="O59" s="40">
        <v>0</v>
      </c>
      <c r="P59" s="40">
        <v>0</v>
      </c>
    </row>
    <row r="60" spans="1:17" x14ac:dyDescent="0.2">
      <c r="A60" s="42">
        <v>44102</v>
      </c>
      <c r="B60" s="40">
        <v>1</v>
      </c>
      <c r="C60" s="33" t="s">
        <v>129</v>
      </c>
      <c r="D60" s="33">
        <v>16</v>
      </c>
      <c r="E60" s="50" t="s">
        <v>128</v>
      </c>
      <c r="F60" s="1">
        <v>6</v>
      </c>
      <c r="G60" s="33">
        <v>0</v>
      </c>
      <c r="H60" s="51">
        <f t="shared" si="2"/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</row>
    <row r="61" spans="1:17" x14ac:dyDescent="0.2">
      <c r="A61" s="42">
        <v>44102</v>
      </c>
      <c r="B61" s="40">
        <v>1</v>
      </c>
      <c r="C61" s="16" t="s">
        <v>131</v>
      </c>
      <c r="D61" s="16">
        <v>17</v>
      </c>
      <c r="E61" s="50" t="s">
        <v>130</v>
      </c>
      <c r="F61" s="1">
        <v>2</v>
      </c>
      <c r="G61" s="33">
        <v>0</v>
      </c>
      <c r="H61" s="51">
        <f t="shared" si="2"/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</row>
    <row r="62" spans="1:17" x14ac:dyDescent="0.2">
      <c r="A62" s="42">
        <v>44102</v>
      </c>
      <c r="B62" s="40">
        <v>1</v>
      </c>
      <c r="C62" s="16" t="s">
        <v>133</v>
      </c>
      <c r="D62" s="16">
        <v>18</v>
      </c>
      <c r="E62" s="50" t="s">
        <v>132</v>
      </c>
      <c r="F62" s="1">
        <v>3</v>
      </c>
      <c r="G62" s="33">
        <v>0</v>
      </c>
      <c r="H62" s="51">
        <f t="shared" si="2"/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</row>
    <row r="63" spans="1:17" x14ac:dyDescent="0.2">
      <c r="A63" s="42">
        <v>44102</v>
      </c>
      <c r="B63" s="40">
        <v>1</v>
      </c>
      <c r="C63" s="16" t="s">
        <v>143</v>
      </c>
      <c r="D63" s="16">
        <v>19</v>
      </c>
      <c r="E63" s="50" t="s">
        <v>141</v>
      </c>
      <c r="F63" s="1">
        <v>4</v>
      </c>
      <c r="G63" s="33">
        <v>0</v>
      </c>
      <c r="H63" s="51">
        <f t="shared" si="2"/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  <c r="P63" s="40">
        <v>0</v>
      </c>
      <c r="Q63" s="40"/>
    </row>
    <row r="64" spans="1:17" x14ac:dyDescent="0.2">
      <c r="A64" s="42">
        <v>44102</v>
      </c>
      <c r="B64" s="40">
        <v>1</v>
      </c>
      <c r="C64" s="16" t="s">
        <v>144</v>
      </c>
      <c r="D64" s="16">
        <v>20</v>
      </c>
      <c r="E64" s="50" t="s">
        <v>142</v>
      </c>
      <c r="F64" s="1">
        <v>4</v>
      </c>
      <c r="G64" s="33">
        <v>0</v>
      </c>
      <c r="H64" s="51">
        <f t="shared" si="2"/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</row>
    <row r="65" spans="1:16" x14ac:dyDescent="0.2">
      <c r="A65" s="42">
        <v>44109</v>
      </c>
      <c r="B65" s="40">
        <v>1</v>
      </c>
      <c r="C65" s="16" t="s">
        <v>136</v>
      </c>
      <c r="D65" s="16">
        <v>21</v>
      </c>
      <c r="E65" s="50" t="s">
        <v>134</v>
      </c>
      <c r="F65" s="1">
        <v>3</v>
      </c>
      <c r="G65" s="33">
        <v>0</v>
      </c>
      <c r="H65" s="51">
        <f t="shared" si="2"/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40">
        <v>0</v>
      </c>
      <c r="P65" s="40">
        <v>0</v>
      </c>
    </row>
    <row r="66" spans="1:16" ht="13.5" thickBot="1" x14ac:dyDescent="0.25">
      <c r="A66" s="42">
        <v>44110</v>
      </c>
      <c r="B66" s="40">
        <v>1</v>
      </c>
      <c r="C66" s="16" t="s">
        <v>137</v>
      </c>
      <c r="D66" s="16">
        <v>22</v>
      </c>
      <c r="E66" s="50" t="s">
        <v>135</v>
      </c>
      <c r="F66" s="4">
        <v>4</v>
      </c>
      <c r="G66" s="59">
        <v>0</v>
      </c>
      <c r="H66" s="60">
        <f t="shared" si="2"/>
        <v>0</v>
      </c>
      <c r="I66" s="61">
        <v>0</v>
      </c>
      <c r="J66" s="61">
        <v>0</v>
      </c>
      <c r="K66" s="61">
        <v>0</v>
      </c>
      <c r="L66" s="61">
        <v>0</v>
      </c>
      <c r="M66" s="61">
        <v>0</v>
      </c>
      <c r="N66" s="61">
        <v>0</v>
      </c>
      <c r="O66" s="61">
        <v>0</v>
      </c>
      <c r="P66" s="61">
        <v>0</v>
      </c>
    </row>
    <row r="67" spans="1:16" x14ac:dyDescent="0.2">
      <c r="A67" s="42"/>
      <c r="F67" s="2">
        <f>SUM(F4:F66)</f>
        <v>220</v>
      </c>
      <c r="G67" s="2">
        <f>SUM(G4:G66)</f>
        <v>14</v>
      </c>
      <c r="H67" s="63">
        <f t="shared" si="2"/>
        <v>6.363636363636363E-2</v>
      </c>
      <c r="I67" s="2">
        <f t="shared" ref="I67:P67" si="3">SUM(I4:I66)</f>
        <v>37</v>
      </c>
      <c r="J67" s="2">
        <f t="shared" si="3"/>
        <v>1</v>
      </c>
      <c r="K67" s="2">
        <f t="shared" si="3"/>
        <v>2</v>
      </c>
      <c r="L67" s="2">
        <f t="shared" si="3"/>
        <v>0</v>
      </c>
      <c r="M67" s="2">
        <f t="shared" si="3"/>
        <v>1</v>
      </c>
      <c r="N67" s="2">
        <f t="shared" si="3"/>
        <v>1</v>
      </c>
      <c r="O67" s="2">
        <f t="shared" si="3"/>
        <v>1</v>
      </c>
      <c r="P67" s="2">
        <f t="shared" si="3"/>
        <v>3</v>
      </c>
    </row>
    <row r="68" spans="1:16" x14ac:dyDescent="0.2">
      <c r="A68" s="42"/>
      <c r="H68" s="1"/>
    </row>
    <row r="69" spans="1:16" x14ac:dyDescent="0.2">
      <c r="A69" s="42"/>
      <c r="H69" s="1"/>
    </row>
    <row r="70" spans="1:16" x14ac:dyDescent="0.2">
      <c r="A70" s="42"/>
      <c r="H70" s="1"/>
    </row>
    <row r="71" spans="1:16" x14ac:dyDescent="0.2">
      <c r="A71" s="42"/>
      <c r="H71" s="1"/>
    </row>
    <row r="72" spans="1:16" x14ac:dyDescent="0.2">
      <c r="A72" s="42"/>
      <c r="H72" s="1"/>
    </row>
    <row r="73" spans="1:16" x14ac:dyDescent="0.2">
      <c r="A73" s="42"/>
      <c r="H73" s="1"/>
    </row>
    <row r="74" spans="1:16" x14ac:dyDescent="0.2">
      <c r="A74" s="42"/>
      <c r="H74" s="1"/>
    </row>
    <row r="75" spans="1:16" x14ac:dyDescent="0.2">
      <c r="A75" s="42"/>
      <c r="H75" s="1"/>
    </row>
    <row r="76" spans="1:16" x14ac:dyDescent="0.2">
      <c r="A76" s="42"/>
      <c r="H76" s="1"/>
    </row>
    <row r="77" spans="1:16" x14ac:dyDescent="0.2">
      <c r="A77" s="42"/>
      <c r="H77" s="1"/>
    </row>
    <row r="78" spans="1:16" x14ac:dyDescent="0.2">
      <c r="A78" s="42"/>
      <c r="H78" s="1"/>
    </row>
    <row r="79" spans="1:16" x14ac:dyDescent="0.2">
      <c r="A79" s="42"/>
      <c r="H79" s="1"/>
    </row>
    <row r="80" spans="1:16" x14ac:dyDescent="0.2">
      <c r="A80" s="42"/>
      <c r="H80" s="1"/>
    </row>
    <row r="81" spans="1:8" x14ac:dyDescent="0.2">
      <c r="A81" s="42"/>
      <c r="H81" s="1"/>
    </row>
    <row r="82" spans="1:8" x14ac:dyDescent="0.2">
      <c r="A82" s="42"/>
      <c r="H82" s="1"/>
    </row>
    <row r="83" spans="1:8" x14ac:dyDescent="0.2">
      <c r="A83" s="42"/>
      <c r="H83" s="1"/>
    </row>
    <row r="84" spans="1:8" x14ac:dyDescent="0.2">
      <c r="A84" s="42"/>
      <c r="H84" s="1"/>
    </row>
    <row r="85" spans="1:8" x14ac:dyDescent="0.2">
      <c r="A85" s="42"/>
      <c r="H85" s="1"/>
    </row>
    <row r="86" spans="1:8" x14ac:dyDescent="0.2">
      <c r="A86" s="42"/>
      <c r="H86" s="1"/>
    </row>
    <row r="87" spans="1:8" x14ac:dyDescent="0.2">
      <c r="A87" s="42"/>
      <c r="H87" s="1"/>
    </row>
    <row r="88" spans="1:8" x14ac:dyDescent="0.2">
      <c r="A88" s="42"/>
      <c r="H88" s="1"/>
    </row>
    <row r="89" spans="1:8" x14ac:dyDescent="0.2">
      <c r="A89" s="42"/>
      <c r="H89" s="1"/>
    </row>
    <row r="90" spans="1:8" x14ac:dyDescent="0.2">
      <c r="A90" s="42"/>
      <c r="H90" s="1"/>
    </row>
    <row r="91" spans="1:8" x14ac:dyDescent="0.2">
      <c r="A91" s="42"/>
      <c r="H91" s="1"/>
    </row>
    <row r="92" spans="1:8" x14ac:dyDescent="0.2">
      <c r="A92" s="42"/>
      <c r="H92" s="1"/>
    </row>
    <row r="93" spans="1:8" x14ac:dyDescent="0.2">
      <c r="A93" s="42"/>
      <c r="H93" s="1"/>
    </row>
    <row r="94" spans="1:8" x14ac:dyDescent="0.2">
      <c r="A94" s="42"/>
      <c r="H94" s="1"/>
    </row>
    <row r="95" spans="1:8" x14ac:dyDescent="0.2">
      <c r="A95" s="42"/>
      <c r="H95" s="1"/>
    </row>
    <row r="96" spans="1:8" x14ac:dyDescent="0.2">
      <c r="A96" s="42"/>
      <c r="H96" s="1"/>
    </row>
    <row r="97" spans="1:8" x14ac:dyDescent="0.2">
      <c r="A97" s="42"/>
      <c r="H97" s="1"/>
    </row>
    <row r="98" spans="1:8" x14ac:dyDescent="0.2">
      <c r="A98" s="42"/>
      <c r="H98" s="1"/>
    </row>
    <row r="99" spans="1:8" x14ac:dyDescent="0.2">
      <c r="A99" s="42"/>
      <c r="H99" s="1"/>
    </row>
    <row r="100" spans="1:8" x14ac:dyDescent="0.2">
      <c r="A100" s="42"/>
      <c r="H100" s="1"/>
    </row>
    <row r="101" spans="1:8" x14ac:dyDescent="0.2">
      <c r="A101" s="42"/>
      <c r="H101" s="1"/>
    </row>
    <row r="102" spans="1:8" x14ac:dyDescent="0.2">
      <c r="A102" s="42"/>
      <c r="H102" s="1"/>
    </row>
    <row r="103" spans="1:8" x14ac:dyDescent="0.2">
      <c r="A103" s="42"/>
      <c r="H103" s="1"/>
    </row>
    <row r="104" spans="1:8" x14ac:dyDescent="0.2">
      <c r="A104" s="42"/>
      <c r="H104" s="1"/>
    </row>
    <row r="105" spans="1:8" x14ac:dyDescent="0.2">
      <c r="A105" s="42"/>
      <c r="H105" s="1"/>
    </row>
    <row r="106" spans="1:8" x14ac:dyDescent="0.2">
      <c r="A106" s="42"/>
      <c r="H106" s="1"/>
    </row>
    <row r="107" spans="1:8" x14ac:dyDescent="0.2">
      <c r="A107" s="42"/>
      <c r="H107" s="1"/>
    </row>
    <row r="108" spans="1:8" x14ac:dyDescent="0.2">
      <c r="A108" s="42"/>
      <c r="H108" s="1"/>
    </row>
    <row r="109" spans="1:8" x14ac:dyDescent="0.2">
      <c r="A109" s="42"/>
      <c r="H109" s="1"/>
    </row>
    <row r="110" spans="1:8" x14ac:dyDescent="0.2">
      <c r="A110" s="42"/>
      <c r="H110" s="1"/>
    </row>
    <row r="111" spans="1:8" x14ac:dyDescent="0.2">
      <c r="A111" s="42"/>
      <c r="H111" s="1"/>
    </row>
    <row r="112" spans="1:8" x14ac:dyDescent="0.2">
      <c r="A112" s="42"/>
      <c r="H112" s="1"/>
    </row>
    <row r="113" spans="1:8" x14ac:dyDescent="0.2">
      <c r="A113" s="42"/>
      <c r="H113" s="1"/>
    </row>
    <row r="114" spans="1:8" x14ac:dyDescent="0.2">
      <c r="A114" s="42"/>
      <c r="H114" s="1"/>
    </row>
    <row r="115" spans="1:8" x14ac:dyDescent="0.2">
      <c r="A115" s="42"/>
      <c r="H115" s="1"/>
    </row>
    <row r="116" spans="1:8" x14ac:dyDescent="0.2">
      <c r="A116" s="42"/>
      <c r="H116" s="1"/>
    </row>
    <row r="117" spans="1:8" x14ac:dyDescent="0.2">
      <c r="A117" s="42"/>
      <c r="H117" s="1"/>
    </row>
    <row r="118" spans="1:8" x14ac:dyDescent="0.2">
      <c r="A118" s="42"/>
      <c r="H118" s="1"/>
    </row>
    <row r="119" spans="1:8" x14ac:dyDescent="0.2">
      <c r="A119" s="42"/>
      <c r="H119" s="1"/>
    </row>
    <row r="120" spans="1:8" x14ac:dyDescent="0.2">
      <c r="A120" s="42"/>
      <c r="H120" s="1"/>
    </row>
    <row r="121" spans="1:8" x14ac:dyDescent="0.2">
      <c r="A121" s="42"/>
      <c r="H121" s="1"/>
    </row>
    <row r="122" spans="1:8" x14ac:dyDescent="0.2">
      <c r="A122" s="42"/>
      <c r="H122" s="1"/>
    </row>
    <row r="123" spans="1:8" x14ac:dyDescent="0.2">
      <c r="A123" s="42"/>
      <c r="H123" s="1"/>
    </row>
    <row r="124" spans="1:8" x14ac:dyDescent="0.2">
      <c r="A124" s="42"/>
      <c r="H124" s="1"/>
    </row>
    <row r="125" spans="1:8" x14ac:dyDescent="0.2">
      <c r="A125" s="42"/>
      <c r="H125" s="1"/>
    </row>
    <row r="126" spans="1:8" x14ac:dyDescent="0.2">
      <c r="A126" s="42"/>
      <c r="H126" s="1"/>
    </row>
    <row r="127" spans="1:8" x14ac:dyDescent="0.2">
      <c r="A127" s="42"/>
      <c r="H127" s="1"/>
    </row>
    <row r="128" spans="1:8" x14ac:dyDescent="0.2">
      <c r="A128" s="42"/>
      <c r="H128" s="1"/>
    </row>
  </sheetData>
  <pageMargins left="0.7" right="0.7" top="0.75" bottom="0.75" header="0.3" footer="0.3"/>
  <pageSetup orientation="portrait" r:id="rId1"/>
  <ignoredErrors>
    <ignoredError sqref="H6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77"/>
  <sheetViews>
    <sheetView workbookViewId="0">
      <pane ySplit="3" topLeftCell="A76" activePane="bottomLeft" state="frozen"/>
      <selection pane="bottomLeft" activeCell="G106" sqref="G106:G110"/>
    </sheetView>
  </sheetViews>
  <sheetFormatPr defaultRowHeight="12.75" x14ac:dyDescent="0.2"/>
  <cols>
    <col min="1" max="1" width="10.42578125" customWidth="1"/>
    <col min="5" max="5" width="38.28515625" customWidth="1"/>
    <col min="16" max="16" width="17.42578125" customWidth="1"/>
  </cols>
  <sheetData>
    <row r="1" spans="1:16" x14ac:dyDescent="0.2">
      <c r="A1" s="2"/>
      <c r="B1" s="2"/>
      <c r="C1" s="2"/>
      <c r="D1" s="2"/>
      <c r="E1" s="2"/>
      <c r="I1" s="3" t="s">
        <v>24</v>
      </c>
      <c r="J1" s="3"/>
      <c r="K1" s="3"/>
    </row>
    <row r="2" spans="1:16" x14ac:dyDescent="0.2">
      <c r="D2" s="2" t="s">
        <v>113</v>
      </c>
      <c r="F2" s="2" t="s">
        <v>4</v>
      </c>
      <c r="G2" s="2" t="s">
        <v>140</v>
      </c>
      <c r="H2" s="2" t="s">
        <v>3</v>
      </c>
      <c r="J2" s="2" t="s">
        <v>8</v>
      </c>
      <c r="K2" s="2"/>
      <c r="P2" s="21" t="s">
        <v>154</v>
      </c>
    </row>
    <row r="3" spans="1:16" ht="13.5" thickBot="1" x14ac:dyDescent="0.25">
      <c r="A3" s="2" t="s">
        <v>0</v>
      </c>
      <c r="B3" s="2" t="s">
        <v>1</v>
      </c>
      <c r="C3" s="2" t="s">
        <v>108</v>
      </c>
      <c r="D3" s="2" t="s">
        <v>114</v>
      </c>
      <c r="E3" s="2" t="s">
        <v>2</v>
      </c>
      <c r="F3" s="2" t="s">
        <v>26</v>
      </c>
      <c r="G3" s="2" t="s">
        <v>3</v>
      </c>
      <c r="H3" s="2" t="s">
        <v>73</v>
      </c>
      <c r="I3" s="2" t="s">
        <v>5</v>
      </c>
      <c r="J3" s="4" t="s">
        <v>6</v>
      </c>
      <c r="K3" s="4" t="s">
        <v>7</v>
      </c>
      <c r="L3" s="1" t="s">
        <v>109</v>
      </c>
      <c r="M3" s="21" t="s">
        <v>110</v>
      </c>
      <c r="N3" s="21" t="s">
        <v>111</v>
      </c>
      <c r="O3" s="21" t="s">
        <v>112</v>
      </c>
      <c r="P3" s="21" t="s">
        <v>155</v>
      </c>
    </row>
    <row r="4" spans="1:16" x14ac:dyDescent="0.2">
      <c r="A4" s="42">
        <v>43721</v>
      </c>
      <c r="B4" s="1">
        <v>1</v>
      </c>
      <c r="C4" s="16" t="s">
        <v>118</v>
      </c>
      <c r="D4" s="16" t="s">
        <v>116</v>
      </c>
      <c r="E4" s="50" t="s">
        <v>117</v>
      </c>
      <c r="F4" s="16">
        <v>2</v>
      </c>
      <c r="G4" s="16">
        <v>0</v>
      </c>
      <c r="H4" s="56">
        <f t="shared" ref="H4:H115" si="0">G4/F4</f>
        <v>0</v>
      </c>
      <c r="I4" s="16">
        <v>0</v>
      </c>
      <c r="J4" s="36">
        <v>0</v>
      </c>
      <c r="K4" s="36">
        <v>0</v>
      </c>
      <c r="L4" s="1">
        <v>0</v>
      </c>
      <c r="M4" s="21">
        <v>0</v>
      </c>
      <c r="N4" s="21">
        <v>0</v>
      </c>
      <c r="O4" s="21">
        <v>0</v>
      </c>
      <c r="P4" s="21">
        <v>0</v>
      </c>
    </row>
    <row r="5" spans="1:16" x14ac:dyDescent="0.2">
      <c r="A5" s="42">
        <v>43705</v>
      </c>
      <c r="B5" s="1">
        <v>1</v>
      </c>
      <c r="C5" s="33" t="s">
        <v>27</v>
      </c>
      <c r="D5" s="16">
        <v>1</v>
      </c>
      <c r="E5" s="50" t="s">
        <v>9</v>
      </c>
      <c r="F5" s="16">
        <v>6</v>
      </c>
      <c r="G5" s="16">
        <v>0</v>
      </c>
      <c r="H5" s="56">
        <f t="shared" si="0"/>
        <v>0</v>
      </c>
      <c r="I5" s="16">
        <v>0</v>
      </c>
      <c r="J5" s="36">
        <v>0</v>
      </c>
      <c r="K5" s="36">
        <v>0</v>
      </c>
      <c r="L5" s="1">
        <v>0</v>
      </c>
      <c r="M5" s="21">
        <v>0</v>
      </c>
      <c r="N5" s="21">
        <v>0</v>
      </c>
      <c r="O5" s="21">
        <v>0</v>
      </c>
      <c r="P5" s="21">
        <v>0</v>
      </c>
    </row>
    <row r="6" spans="1:16" x14ac:dyDescent="0.2">
      <c r="A6" s="42">
        <v>43712</v>
      </c>
      <c r="B6" s="1">
        <v>2</v>
      </c>
      <c r="C6" s="33" t="s">
        <v>27</v>
      </c>
      <c r="D6" s="16">
        <v>1</v>
      </c>
      <c r="E6" s="50" t="s">
        <v>9</v>
      </c>
      <c r="F6" s="16">
        <v>6</v>
      </c>
      <c r="G6" s="16">
        <v>0</v>
      </c>
      <c r="H6" s="56">
        <f t="shared" si="0"/>
        <v>0</v>
      </c>
      <c r="I6" s="16">
        <v>0</v>
      </c>
      <c r="J6" s="36">
        <v>0</v>
      </c>
      <c r="K6" s="36">
        <v>0</v>
      </c>
      <c r="L6" s="1">
        <v>0</v>
      </c>
      <c r="M6" s="21">
        <v>0</v>
      </c>
      <c r="N6" s="21">
        <v>0</v>
      </c>
      <c r="O6" s="21">
        <v>0</v>
      </c>
      <c r="P6" s="21">
        <v>0</v>
      </c>
    </row>
    <row r="7" spans="1:16" x14ac:dyDescent="0.2">
      <c r="A7" s="42">
        <v>43720</v>
      </c>
      <c r="B7" s="1">
        <v>3</v>
      </c>
      <c r="C7" s="33" t="s">
        <v>27</v>
      </c>
      <c r="D7" s="16">
        <v>1</v>
      </c>
      <c r="E7" s="50" t="s">
        <v>9</v>
      </c>
      <c r="F7" s="16">
        <v>6</v>
      </c>
      <c r="G7" s="16">
        <v>0</v>
      </c>
      <c r="H7" s="56">
        <f t="shared" si="0"/>
        <v>0</v>
      </c>
      <c r="I7" s="16">
        <v>0</v>
      </c>
      <c r="J7" s="36">
        <v>0</v>
      </c>
      <c r="K7" s="36">
        <v>0</v>
      </c>
      <c r="L7" s="1">
        <v>0</v>
      </c>
      <c r="M7" s="21">
        <v>0</v>
      </c>
      <c r="N7" s="21">
        <v>0</v>
      </c>
      <c r="O7" s="21">
        <v>0</v>
      </c>
      <c r="P7" s="21">
        <v>0</v>
      </c>
    </row>
    <row r="8" spans="1:16" x14ac:dyDescent="0.2">
      <c r="A8" s="42">
        <v>43727</v>
      </c>
      <c r="B8" s="1">
        <v>4</v>
      </c>
      <c r="C8" s="33" t="s">
        <v>27</v>
      </c>
      <c r="D8" s="16">
        <v>1</v>
      </c>
      <c r="E8" s="50" t="s">
        <v>9</v>
      </c>
      <c r="F8" s="16">
        <v>6</v>
      </c>
      <c r="G8" s="33">
        <v>0</v>
      </c>
      <c r="H8" s="56">
        <f>G8/F8</f>
        <v>0</v>
      </c>
      <c r="I8" s="16">
        <v>0</v>
      </c>
      <c r="J8" s="36">
        <v>0</v>
      </c>
      <c r="K8" s="36">
        <v>0</v>
      </c>
      <c r="L8" s="1">
        <v>0</v>
      </c>
      <c r="M8" s="21">
        <v>0</v>
      </c>
      <c r="N8" s="21">
        <v>0</v>
      </c>
      <c r="O8" s="21">
        <v>0</v>
      </c>
      <c r="P8" s="21">
        <v>0</v>
      </c>
    </row>
    <row r="9" spans="1:16" x14ac:dyDescent="0.2">
      <c r="A9" s="42">
        <v>43731</v>
      </c>
      <c r="B9" s="1">
        <v>5</v>
      </c>
      <c r="C9" s="33" t="s">
        <v>27</v>
      </c>
      <c r="D9" s="16">
        <v>1</v>
      </c>
      <c r="E9" s="50" t="s">
        <v>9</v>
      </c>
      <c r="F9" s="16">
        <v>6</v>
      </c>
      <c r="G9" s="33">
        <v>0</v>
      </c>
      <c r="H9" s="56">
        <f>G9/F9</f>
        <v>0</v>
      </c>
      <c r="I9" s="16">
        <v>0</v>
      </c>
      <c r="J9" s="36">
        <v>0</v>
      </c>
      <c r="K9" s="36">
        <v>0</v>
      </c>
      <c r="L9" s="1">
        <v>0</v>
      </c>
      <c r="M9" s="21">
        <v>0</v>
      </c>
      <c r="N9" s="21">
        <v>0</v>
      </c>
      <c r="O9" s="21">
        <v>0</v>
      </c>
      <c r="P9" s="21">
        <v>0</v>
      </c>
    </row>
    <row r="10" spans="1:16" x14ac:dyDescent="0.2">
      <c r="A10" s="42">
        <v>43703</v>
      </c>
      <c r="B10" s="1">
        <v>1</v>
      </c>
      <c r="C10" s="33" t="s">
        <v>28</v>
      </c>
      <c r="D10" s="16">
        <v>2</v>
      </c>
      <c r="E10" s="50" t="s">
        <v>10</v>
      </c>
      <c r="F10" s="16">
        <v>3</v>
      </c>
      <c r="G10" s="16">
        <v>0</v>
      </c>
      <c r="H10" s="56">
        <f t="shared" si="0"/>
        <v>0</v>
      </c>
      <c r="I10" s="16">
        <v>0</v>
      </c>
      <c r="J10" s="36">
        <v>0</v>
      </c>
      <c r="K10" s="36">
        <v>0</v>
      </c>
      <c r="L10" s="1">
        <v>0</v>
      </c>
      <c r="M10" s="21">
        <v>0</v>
      </c>
      <c r="N10" s="21">
        <v>0</v>
      </c>
      <c r="O10" s="21">
        <v>0</v>
      </c>
      <c r="P10" s="21">
        <v>0</v>
      </c>
    </row>
    <row r="11" spans="1:16" x14ac:dyDescent="0.2">
      <c r="A11" s="42">
        <v>43713</v>
      </c>
      <c r="B11" s="1">
        <v>2</v>
      </c>
      <c r="C11" s="33" t="s">
        <v>28</v>
      </c>
      <c r="D11" s="16">
        <v>2</v>
      </c>
      <c r="E11" s="50" t="s">
        <v>10</v>
      </c>
      <c r="F11" s="16">
        <v>3</v>
      </c>
      <c r="G11" s="16">
        <v>0</v>
      </c>
      <c r="H11" s="56">
        <f t="shared" si="0"/>
        <v>0</v>
      </c>
      <c r="I11" s="16">
        <v>0</v>
      </c>
      <c r="J11" s="36">
        <v>0</v>
      </c>
      <c r="K11" s="36">
        <v>0</v>
      </c>
      <c r="L11" s="1">
        <v>0</v>
      </c>
      <c r="M11" s="21">
        <v>0</v>
      </c>
      <c r="N11" s="21">
        <v>0</v>
      </c>
      <c r="O11" s="21">
        <v>0</v>
      </c>
      <c r="P11" s="21">
        <v>0</v>
      </c>
    </row>
    <row r="12" spans="1:16" x14ac:dyDescent="0.2">
      <c r="A12" s="42">
        <v>43720</v>
      </c>
      <c r="B12" s="1">
        <v>3</v>
      </c>
      <c r="C12" s="33" t="s">
        <v>28</v>
      </c>
      <c r="D12" s="16">
        <v>2</v>
      </c>
      <c r="E12" s="50" t="s">
        <v>10</v>
      </c>
      <c r="F12" s="16">
        <v>3</v>
      </c>
      <c r="G12" s="16">
        <v>0</v>
      </c>
      <c r="H12" s="56">
        <f t="shared" si="0"/>
        <v>0</v>
      </c>
      <c r="I12" s="16">
        <v>0</v>
      </c>
      <c r="J12" s="36">
        <v>0</v>
      </c>
      <c r="K12" s="36">
        <v>0</v>
      </c>
      <c r="L12" s="1">
        <v>0</v>
      </c>
      <c r="M12" s="21">
        <v>0</v>
      </c>
      <c r="N12" s="21">
        <v>0</v>
      </c>
      <c r="O12" s="21">
        <v>0</v>
      </c>
      <c r="P12" s="21">
        <v>0</v>
      </c>
    </row>
    <row r="13" spans="1:16" x14ac:dyDescent="0.2">
      <c r="A13" s="42">
        <v>43727</v>
      </c>
      <c r="B13" s="1">
        <v>4</v>
      </c>
      <c r="C13" s="33" t="s">
        <v>28</v>
      </c>
      <c r="D13" s="16">
        <v>2</v>
      </c>
      <c r="E13" s="50" t="s">
        <v>10</v>
      </c>
      <c r="F13" s="16">
        <v>3</v>
      </c>
      <c r="G13" s="16">
        <v>0</v>
      </c>
      <c r="H13" s="56">
        <f>G13/F13</f>
        <v>0</v>
      </c>
      <c r="I13" s="16">
        <v>0</v>
      </c>
      <c r="J13" s="36">
        <v>0</v>
      </c>
      <c r="K13" s="36">
        <v>0</v>
      </c>
      <c r="L13" s="1">
        <v>0</v>
      </c>
      <c r="M13" s="21">
        <v>0</v>
      </c>
      <c r="N13" s="21">
        <v>0</v>
      </c>
      <c r="O13" s="21">
        <v>0</v>
      </c>
      <c r="P13" s="21">
        <v>0</v>
      </c>
    </row>
    <row r="14" spans="1:16" x14ac:dyDescent="0.2">
      <c r="A14" s="42">
        <v>43731</v>
      </c>
      <c r="B14" s="1">
        <v>5</v>
      </c>
      <c r="C14" s="33" t="s">
        <v>28</v>
      </c>
      <c r="D14" s="16">
        <v>2</v>
      </c>
      <c r="E14" s="50" t="s">
        <v>10</v>
      </c>
      <c r="F14" s="16">
        <v>3</v>
      </c>
      <c r="G14" s="16">
        <v>0</v>
      </c>
      <c r="H14" s="56">
        <f>G14/F14</f>
        <v>0</v>
      </c>
      <c r="I14" s="16">
        <v>0</v>
      </c>
      <c r="J14" s="36">
        <v>0</v>
      </c>
      <c r="K14" s="36">
        <v>0</v>
      </c>
      <c r="L14" s="1">
        <v>0</v>
      </c>
      <c r="M14" s="21">
        <v>0</v>
      </c>
      <c r="N14" s="21">
        <v>0</v>
      </c>
      <c r="O14" s="21">
        <v>0</v>
      </c>
      <c r="P14" s="21">
        <v>0</v>
      </c>
    </row>
    <row r="15" spans="1:16" x14ac:dyDescent="0.2">
      <c r="A15" s="42">
        <v>43663</v>
      </c>
      <c r="B15" s="1" t="s">
        <v>127</v>
      </c>
      <c r="C15" s="33" t="s">
        <v>29</v>
      </c>
      <c r="D15" s="16">
        <v>3</v>
      </c>
      <c r="E15" s="50" t="s">
        <v>11</v>
      </c>
      <c r="F15" s="16">
        <v>2</v>
      </c>
      <c r="G15" s="16">
        <v>0</v>
      </c>
      <c r="H15" s="56">
        <f t="shared" si="0"/>
        <v>0</v>
      </c>
      <c r="I15" s="16">
        <v>0</v>
      </c>
      <c r="J15" s="36">
        <v>0</v>
      </c>
      <c r="K15" s="36">
        <v>0</v>
      </c>
      <c r="L15" s="1">
        <v>0</v>
      </c>
      <c r="M15" s="21">
        <v>0</v>
      </c>
      <c r="N15" s="21">
        <v>0</v>
      </c>
      <c r="O15" s="21">
        <v>0</v>
      </c>
      <c r="P15" s="21">
        <v>0</v>
      </c>
    </row>
    <row r="16" spans="1:16" x14ac:dyDescent="0.2">
      <c r="A16" s="42">
        <v>43692</v>
      </c>
      <c r="B16" s="1" t="s">
        <v>127</v>
      </c>
      <c r="C16" s="33" t="s">
        <v>29</v>
      </c>
      <c r="D16" s="16">
        <v>3</v>
      </c>
      <c r="E16" s="50" t="s">
        <v>11</v>
      </c>
      <c r="F16" s="16">
        <v>2</v>
      </c>
      <c r="G16" s="16">
        <v>0</v>
      </c>
      <c r="H16" s="56">
        <f t="shared" si="0"/>
        <v>0</v>
      </c>
      <c r="I16" s="16">
        <v>1</v>
      </c>
      <c r="J16" s="36">
        <v>0</v>
      </c>
      <c r="K16" s="36">
        <v>0</v>
      </c>
      <c r="L16" s="1">
        <v>0</v>
      </c>
      <c r="M16" s="21">
        <v>0</v>
      </c>
      <c r="N16" s="21">
        <v>0</v>
      </c>
      <c r="O16" s="21">
        <v>0</v>
      </c>
      <c r="P16" s="21">
        <v>0</v>
      </c>
    </row>
    <row r="17" spans="1:16" x14ac:dyDescent="0.2">
      <c r="A17" s="42">
        <v>43698</v>
      </c>
      <c r="B17" s="1" t="s">
        <v>127</v>
      </c>
      <c r="C17" s="33" t="s">
        <v>29</v>
      </c>
      <c r="D17" s="16">
        <v>3</v>
      </c>
      <c r="E17" s="50" t="s">
        <v>11</v>
      </c>
      <c r="F17" s="16">
        <v>2</v>
      </c>
      <c r="G17" s="16">
        <v>0</v>
      </c>
      <c r="H17" s="56">
        <f t="shared" si="0"/>
        <v>0</v>
      </c>
      <c r="I17" s="16">
        <v>0</v>
      </c>
      <c r="J17" s="36">
        <v>0</v>
      </c>
      <c r="K17" s="36">
        <v>0</v>
      </c>
      <c r="L17" s="1">
        <v>0</v>
      </c>
      <c r="M17" s="21">
        <v>0</v>
      </c>
      <c r="N17" s="21">
        <v>0</v>
      </c>
      <c r="O17" s="21">
        <v>0</v>
      </c>
      <c r="P17" s="21">
        <v>0</v>
      </c>
    </row>
    <row r="18" spans="1:16" x14ac:dyDescent="0.2">
      <c r="A18" s="42">
        <v>43705</v>
      </c>
      <c r="B18" s="1">
        <v>1</v>
      </c>
      <c r="C18" s="33" t="s">
        <v>29</v>
      </c>
      <c r="D18" s="16">
        <v>3</v>
      </c>
      <c r="E18" s="50" t="s">
        <v>11</v>
      </c>
      <c r="F18" s="16">
        <v>2</v>
      </c>
      <c r="G18" s="16">
        <v>0</v>
      </c>
      <c r="H18" s="56">
        <f t="shared" si="0"/>
        <v>0</v>
      </c>
      <c r="I18" s="16">
        <v>0</v>
      </c>
      <c r="J18" s="36">
        <v>0</v>
      </c>
      <c r="K18" s="36">
        <v>0</v>
      </c>
      <c r="L18" s="1">
        <v>0</v>
      </c>
      <c r="M18" s="21">
        <v>0</v>
      </c>
      <c r="N18" s="21">
        <v>0</v>
      </c>
      <c r="O18" s="21">
        <v>0</v>
      </c>
      <c r="P18" s="21">
        <v>0</v>
      </c>
    </row>
    <row r="19" spans="1:16" x14ac:dyDescent="0.2">
      <c r="A19" s="42">
        <v>43712</v>
      </c>
      <c r="B19" s="1">
        <v>2</v>
      </c>
      <c r="C19" s="33" t="s">
        <v>29</v>
      </c>
      <c r="D19" s="16">
        <v>3</v>
      </c>
      <c r="E19" s="50" t="s">
        <v>11</v>
      </c>
      <c r="F19" s="16">
        <v>2</v>
      </c>
      <c r="G19" s="16">
        <v>0</v>
      </c>
      <c r="H19" s="56">
        <f t="shared" si="0"/>
        <v>0</v>
      </c>
      <c r="I19" s="16">
        <v>0</v>
      </c>
      <c r="J19" s="36">
        <v>0</v>
      </c>
      <c r="K19" s="36">
        <v>0</v>
      </c>
      <c r="L19" s="1">
        <v>0</v>
      </c>
      <c r="M19" s="21">
        <v>0</v>
      </c>
      <c r="N19" s="21">
        <v>0</v>
      </c>
      <c r="O19" s="21">
        <v>0</v>
      </c>
      <c r="P19" s="21">
        <v>0</v>
      </c>
    </row>
    <row r="20" spans="1:16" x14ac:dyDescent="0.2">
      <c r="A20" s="42">
        <v>43717</v>
      </c>
      <c r="B20" s="1">
        <v>3</v>
      </c>
      <c r="C20" s="33" t="s">
        <v>29</v>
      </c>
      <c r="D20" s="16">
        <v>3</v>
      </c>
      <c r="E20" s="50" t="s">
        <v>11</v>
      </c>
      <c r="F20" s="16">
        <v>2</v>
      </c>
      <c r="G20" s="16">
        <v>1</v>
      </c>
      <c r="H20" s="56">
        <f t="shared" si="0"/>
        <v>0.5</v>
      </c>
      <c r="I20" s="16">
        <v>0</v>
      </c>
      <c r="J20" s="36">
        <v>0</v>
      </c>
      <c r="K20" s="36">
        <v>0</v>
      </c>
      <c r="L20" s="1">
        <v>0</v>
      </c>
      <c r="M20" s="21">
        <v>0</v>
      </c>
      <c r="N20" s="21">
        <v>0</v>
      </c>
      <c r="O20" s="21">
        <v>0</v>
      </c>
      <c r="P20" s="21">
        <v>0</v>
      </c>
    </row>
    <row r="21" spans="1:16" x14ac:dyDescent="0.2">
      <c r="A21" s="42">
        <v>43724</v>
      </c>
      <c r="B21" s="40">
        <v>4</v>
      </c>
      <c r="C21" s="33" t="s">
        <v>29</v>
      </c>
      <c r="D21" s="16">
        <v>3</v>
      </c>
      <c r="E21" s="50" t="s">
        <v>11</v>
      </c>
      <c r="F21" s="16">
        <v>2</v>
      </c>
      <c r="G21" s="16">
        <v>0</v>
      </c>
      <c r="H21" s="56">
        <f t="shared" si="0"/>
        <v>0</v>
      </c>
      <c r="I21" s="16">
        <v>0</v>
      </c>
      <c r="J21" s="36">
        <v>0</v>
      </c>
      <c r="K21" s="36">
        <v>0</v>
      </c>
      <c r="L21" s="1">
        <v>0</v>
      </c>
      <c r="M21" s="21">
        <v>0</v>
      </c>
      <c r="N21" s="21">
        <v>0</v>
      </c>
      <c r="O21" s="21">
        <v>0</v>
      </c>
      <c r="P21" s="21">
        <v>0</v>
      </c>
    </row>
    <row r="22" spans="1:16" x14ac:dyDescent="0.2">
      <c r="A22" s="42">
        <v>43731</v>
      </c>
      <c r="B22" s="1">
        <v>5</v>
      </c>
      <c r="C22" s="33" t="s">
        <v>29</v>
      </c>
      <c r="D22" s="16">
        <v>3</v>
      </c>
      <c r="E22" s="50" t="s">
        <v>11</v>
      </c>
      <c r="F22" s="16">
        <v>2</v>
      </c>
      <c r="G22" s="16">
        <v>0</v>
      </c>
      <c r="H22" s="56">
        <f t="shared" si="0"/>
        <v>0</v>
      </c>
      <c r="I22" s="16">
        <v>0</v>
      </c>
      <c r="J22" s="36">
        <v>0</v>
      </c>
      <c r="K22" s="36">
        <v>0</v>
      </c>
      <c r="L22" s="1">
        <v>0</v>
      </c>
      <c r="M22" s="21">
        <v>0</v>
      </c>
      <c r="N22" s="21">
        <v>0</v>
      </c>
      <c r="O22" s="21">
        <v>0</v>
      </c>
      <c r="P22" s="21">
        <v>0</v>
      </c>
    </row>
    <row r="23" spans="1:16" x14ac:dyDescent="0.2">
      <c r="A23" s="42">
        <v>43663</v>
      </c>
      <c r="B23" s="1" t="s">
        <v>127</v>
      </c>
      <c r="C23" s="33" t="s">
        <v>30</v>
      </c>
      <c r="D23" s="16">
        <v>4</v>
      </c>
      <c r="E23" s="50" t="s">
        <v>12</v>
      </c>
      <c r="F23" s="16">
        <v>5</v>
      </c>
      <c r="G23" s="16">
        <v>0</v>
      </c>
      <c r="H23" s="56">
        <f t="shared" si="0"/>
        <v>0</v>
      </c>
      <c r="I23" s="16">
        <v>0</v>
      </c>
      <c r="J23" s="36">
        <v>0</v>
      </c>
      <c r="K23" s="36">
        <v>0</v>
      </c>
      <c r="L23" s="1">
        <v>0</v>
      </c>
      <c r="M23" s="21">
        <v>0</v>
      </c>
      <c r="N23" s="21">
        <v>0</v>
      </c>
      <c r="O23" s="21">
        <v>0</v>
      </c>
      <c r="P23" s="21">
        <v>0</v>
      </c>
    </row>
    <row r="24" spans="1:16" x14ac:dyDescent="0.2">
      <c r="A24" s="42">
        <v>43692</v>
      </c>
      <c r="B24" s="1" t="s">
        <v>127</v>
      </c>
      <c r="C24" s="33" t="s">
        <v>30</v>
      </c>
      <c r="D24" s="16">
        <v>4</v>
      </c>
      <c r="E24" s="50" t="s">
        <v>12</v>
      </c>
      <c r="F24" s="16">
        <v>5</v>
      </c>
      <c r="G24" s="16">
        <v>0</v>
      </c>
      <c r="H24" s="56">
        <f t="shared" si="0"/>
        <v>0</v>
      </c>
      <c r="I24" s="16">
        <v>0</v>
      </c>
      <c r="J24" s="36">
        <v>0</v>
      </c>
      <c r="K24" s="36">
        <v>0</v>
      </c>
      <c r="L24" s="1">
        <v>0</v>
      </c>
      <c r="M24" s="21">
        <v>0</v>
      </c>
      <c r="N24" s="21">
        <v>0</v>
      </c>
      <c r="O24" s="21">
        <v>0</v>
      </c>
      <c r="P24" s="21">
        <v>0</v>
      </c>
    </row>
    <row r="25" spans="1:16" x14ac:dyDescent="0.2">
      <c r="A25" s="42">
        <v>43698</v>
      </c>
      <c r="B25" s="1" t="s">
        <v>127</v>
      </c>
      <c r="C25" s="33" t="s">
        <v>30</v>
      </c>
      <c r="D25" s="16">
        <v>4</v>
      </c>
      <c r="E25" s="50" t="s">
        <v>12</v>
      </c>
      <c r="F25" s="16">
        <v>5</v>
      </c>
      <c r="G25" s="16">
        <v>0</v>
      </c>
      <c r="H25" s="56">
        <f t="shared" si="0"/>
        <v>0</v>
      </c>
      <c r="I25" s="16">
        <v>0</v>
      </c>
      <c r="J25" s="36">
        <v>0</v>
      </c>
      <c r="K25" s="36">
        <v>0</v>
      </c>
      <c r="L25" s="1">
        <v>0</v>
      </c>
      <c r="M25" s="21">
        <v>0</v>
      </c>
      <c r="N25" s="21">
        <v>0</v>
      </c>
      <c r="O25" s="21">
        <v>0</v>
      </c>
      <c r="P25" s="21">
        <v>0</v>
      </c>
    </row>
    <row r="26" spans="1:16" x14ac:dyDescent="0.2">
      <c r="A26" s="42">
        <v>43705</v>
      </c>
      <c r="B26" s="1">
        <v>1</v>
      </c>
      <c r="C26" s="33" t="s">
        <v>30</v>
      </c>
      <c r="D26" s="16">
        <v>4</v>
      </c>
      <c r="E26" s="50" t="s">
        <v>12</v>
      </c>
      <c r="F26" s="16">
        <v>5</v>
      </c>
      <c r="G26" s="16">
        <v>0</v>
      </c>
      <c r="H26" s="56">
        <f t="shared" si="0"/>
        <v>0</v>
      </c>
      <c r="I26" s="16">
        <v>0</v>
      </c>
      <c r="J26" s="36">
        <v>0</v>
      </c>
      <c r="K26" s="36">
        <v>0</v>
      </c>
      <c r="L26" s="1">
        <v>0</v>
      </c>
      <c r="M26" s="21">
        <v>0</v>
      </c>
      <c r="N26" s="21">
        <v>0</v>
      </c>
      <c r="O26" s="21">
        <v>0</v>
      </c>
      <c r="P26" s="21">
        <v>0</v>
      </c>
    </row>
    <row r="27" spans="1:16" x14ac:dyDescent="0.2">
      <c r="A27" s="42">
        <v>43712</v>
      </c>
      <c r="B27" s="1">
        <v>2</v>
      </c>
      <c r="C27" s="33" t="s">
        <v>30</v>
      </c>
      <c r="D27" s="16">
        <v>4</v>
      </c>
      <c r="E27" s="50" t="s">
        <v>12</v>
      </c>
      <c r="F27" s="16">
        <v>5</v>
      </c>
      <c r="G27" s="16">
        <v>0</v>
      </c>
      <c r="H27" s="56">
        <f t="shared" si="0"/>
        <v>0</v>
      </c>
      <c r="I27" s="16">
        <v>2</v>
      </c>
      <c r="J27" s="36">
        <v>0</v>
      </c>
      <c r="K27" s="36">
        <v>0</v>
      </c>
      <c r="L27" s="1">
        <v>0</v>
      </c>
      <c r="M27" s="21">
        <v>0</v>
      </c>
      <c r="N27" s="21">
        <v>0</v>
      </c>
      <c r="O27" s="21">
        <v>0</v>
      </c>
      <c r="P27" s="21">
        <v>0</v>
      </c>
    </row>
    <row r="28" spans="1:16" x14ac:dyDescent="0.2">
      <c r="A28" s="42">
        <v>43717</v>
      </c>
      <c r="B28" s="1">
        <v>3</v>
      </c>
      <c r="C28" s="33" t="s">
        <v>30</v>
      </c>
      <c r="D28" s="16">
        <v>4</v>
      </c>
      <c r="E28" s="50" t="s">
        <v>12</v>
      </c>
      <c r="F28" s="16">
        <v>5</v>
      </c>
      <c r="G28" s="16">
        <v>1</v>
      </c>
      <c r="H28" s="56">
        <f t="shared" si="0"/>
        <v>0.2</v>
      </c>
      <c r="I28" s="16">
        <v>0</v>
      </c>
      <c r="J28" s="36">
        <v>0</v>
      </c>
      <c r="K28" s="36">
        <v>0</v>
      </c>
      <c r="L28" s="1">
        <v>0</v>
      </c>
      <c r="M28" s="21">
        <v>0</v>
      </c>
      <c r="N28" s="21">
        <v>0</v>
      </c>
      <c r="O28" s="21">
        <v>0</v>
      </c>
      <c r="P28" s="21">
        <v>0</v>
      </c>
    </row>
    <row r="29" spans="1:16" x14ac:dyDescent="0.2">
      <c r="A29" s="42">
        <v>43724</v>
      </c>
      <c r="B29" s="40">
        <v>4</v>
      </c>
      <c r="C29" s="33" t="s">
        <v>30</v>
      </c>
      <c r="D29" s="16">
        <v>4</v>
      </c>
      <c r="E29" s="50" t="s">
        <v>12</v>
      </c>
      <c r="F29" s="16">
        <v>5</v>
      </c>
      <c r="G29" s="16">
        <v>0</v>
      </c>
      <c r="H29" s="56">
        <f t="shared" si="0"/>
        <v>0</v>
      </c>
      <c r="I29" s="16">
        <v>0</v>
      </c>
      <c r="J29" s="36">
        <v>0</v>
      </c>
      <c r="K29" s="36">
        <v>0</v>
      </c>
      <c r="L29" s="1">
        <v>0</v>
      </c>
      <c r="M29" s="21">
        <v>0</v>
      </c>
      <c r="N29" s="21">
        <v>0</v>
      </c>
      <c r="O29" s="21">
        <v>0</v>
      </c>
      <c r="P29" s="21">
        <v>0</v>
      </c>
    </row>
    <row r="30" spans="1:16" x14ac:dyDescent="0.2">
      <c r="A30" s="42">
        <v>43731</v>
      </c>
      <c r="B30" s="1">
        <v>5</v>
      </c>
      <c r="C30" s="33" t="s">
        <v>30</v>
      </c>
      <c r="D30" s="16">
        <v>4</v>
      </c>
      <c r="E30" s="50" t="s">
        <v>12</v>
      </c>
      <c r="F30" s="16">
        <v>5</v>
      </c>
      <c r="G30" s="16">
        <v>0</v>
      </c>
      <c r="H30" s="56">
        <f t="shared" si="0"/>
        <v>0</v>
      </c>
      <c r="I30" s="16">
        <v>0</v>
      </c>
      <c r="J30" s="36">
        <v>0</v>
      </c>
      <c r="K30" s="36">
        <v>0</v>
      </c>
      <c r="L30" s="1">
        <v>0</v>
      </c>
      <c r="M30" s="21">
        <v>0</v>
      </c>
      <c r="N30" s="21">
        <v>0</v>
      </c>
      <c r="O30" s="21">
        <v>0</v>
      </c>
      <c r="P30" s="21">
        <v>0</v>
      </c>
    </row>
    <row r="31" spans="1:16" x14ac:dyDescent="0.2">
      <c r="A31" s="42">
        <v>43656</v>
      </c>
      <c r="B31" s="1" t="s">
        <v>127</v>
      </c>
      <c r="C31" s="33" t="s">
        <v>31</v>
      </c>
      <c r="D31" s="16">
        <v>5</v>
      </c>
      <c r="E31" s="50" t="s">
        <v>159</v>
      </c>
      <c r="F31" s="16">
        <v>2</v>
      </c>
      <c r="G31" s="16">
        <v>0</v>
      </c>
      <c r="H31" s="56">
        <f t="shared" si="0"/>
        <v>0</v>
      </c>
      <c r="I31" s="16">
        <v>0</v>
      </c>
      <c r="J31" s="36">
        <v>0</v>
      </c>
      <c r="K31" s="36">
        <v>0</v>
      </c>
      <c r="L31" s="1">
        <v>0</v>
      </c>
      <c r="M31" s="21">
        <v>0</v>
      </c>
      <c r="N31" s="21">
        <v>0</v>
      </c>
      <c r="O31" s="21">
        <v>0</v>
      </c>
      <c r="P31" s="21">
        <v>0</v>
      </c>
    </row>
    <row r="32" spans="1:16" x14ac:dyDescent="0.2">
      <c r="A32" s="42">
        <v>43662</v>
      </c>
      <c r="B32" s="1" t="s">
        <v>127</v>
      </c>
      <c r="C32" s="33" t="s">
        <v>31</v>
      </c>
      <c r="D32" s="16">
        <v>5</v>
      </c>
      <c r="E32" s="50" t="s">
        <v>159</v>
      </c>
      <c r="F32" s="16">
        <v>2</v>
      </c>
      <c r="G32" s="16">
        <v>0</v>
      </c>
      <c r="H32" s="56">
        <f t="shared" si="0"/>
        <v>0</v>
      </c>
      <c r="I32" s="16">
        <v>0</v>
      </c>
      <c r="J32" s="36">
        <v>0</v>
      </c>
      <c r="K32" s="36">
        <v>0</v>
      </c>
      <c r="L32" s="1">
        <v>0</v>
      </c>
      <c r="M32" s="21">
        <v>0</v>
      </c>
      <c r="N32" s="21">
        <v>0</v>
      </c>
      <c r="O32" s="21">
        <v>0</v>
      </c>
      <c r="P32" s="21">
        <v>0</v>
      </c>
    </row>
    <row r="33" spans="1:16" x14ac:dyDescent="0.2">
      <c r="A33" s="42">
        <v>43676</v>
      </c>
      <c r="B33" s="1" t="s">
        <v>127</v>
      </c>
      <c r="C33" s="33" t="s">
        <v>31</v>
      </c>
      <c r="D33" s="16">
        <v>5</v>
      </c>
      <c r="E33" s="50" t="s">
        <v>159</v>
      </c>
      <c r="F33" s="16">
        <v>2</v>
      </c>
      <c r="G33" s="16">
        <v>0</v>
      </c>
      <c r="H33" s="56">
        <f t="shared" si="0"/>
        <v>0</v>
      </c>
      <c r="I33" s="16">
        <v>0</v>
      </c>
      <c r="J33" s="36">
        <v>0</v>
      </c>
      <c r="K33" s="36">
        <v>0</v>
      </c>
      <c r="L33" s="1">
        <v>0</v>
      </c>
      <c r="M33" s="21">
        <v>0</v>
      </c>
      <c r="N33" s="21">
        <v>0</v>
      </c>
      <c r="O33" s="21">
        <v>0</v>
      </c>
      <c r="P33" s="21">
        <v>0</v>
      </c>
    </row>
    <row r="34" spans="1:16" x14ac:dyDescent="0.2">
      <c r="A34" s="42">
        <v>43686</v>
      </c>
      <c r="B34" s="1" t="s">
        <v>127</v>
      </c>
      <c r="C34" s="33" t="s">
        <v>31</v>
      </c>
      <c r="D34" s="16">
        <v>5</v>
      </c>
      <c r="E34" s="50" t="s">
        <v>159</v>
      </c>
      <c r="F34" s="16">
        <v>2</v>
      </c>
      <c r="G34" s="16">
        <v>0</v>
      </c>
      <c r="H34" s="56">
        <f t="shared" si="0"/>
        <v>0</v>
      </c>
      <c r="I34" s="16">
        <v>0</v>
      </c>
      <c r="J34" s="36">
        <v>0</v>
      </c>
      <c r="K34" s="36">
        <v>0</v>
      </c>
      <c r="L34" s="1">
        <v>0</v>
      </c>
      <c r="M34" s="21">
        <v>0</v>
      </c>
      <c r="N34" s="21">
        <v>0</v>
      </c>
      <c r="O34" s="21">
        <v>0</v>
      </c>
      <c r="P34" s="21">
        <v>0</v>
      </c>
    </row>
    <row r="35" spans="1:16" x14ac:dyDescent="0.2">
      <c r="A35" s="42">
        <v>43692</v>
      </c>
      <c r="B35" s="1" t="s">
        <v>127</v>
      </c>
      <c r="C35" s="33" t="s">
        <v>31</v>
      </c>
      <c r="D35" s="16">
        <v>5</v>
      </c>
      <c r="E35" s="50" t="s">
        <v>159</v>
      </c>
      <c r="F35" s="16">
        <v>2</v>
      </c>
      <c r="G35" s="16">
        <v>0</v>
      </c>
      <c r="H35" s="56">
        <f t="shared" si="0"/>
        <v>0</v>
      </c>
      <c r="I35" s="16">
        <v>0</v>
      </c>
      <c r="J35" s="36">
        <v>0</v>
      </c>
      <c r="K35" s="36">
        <v>0</v>
      </c>
      <c r="L35" s="1">
        <v>0</v>
      </c>
      <c r="M35" s="21">
        <v>0</v>
      </c>
      <c r="N35" s="21">
        <v>0</v>
      </c>
      <c r="O35" s="21">
        <v>0</v>
      </c>
      <c r="P35" s="21">
        <v>0</v>
      </c>
    </row>
    <row r="36" spans="1:16" x14ac:dyDescent="0.2">
      <c r="A36" s="42">
        <v>43698</v>
      </c>
      <c r="B36" s="1" t="s">
        <v>127</v>
      </c>
      <c r="C36" s="33" t="s">
        <v>31</v>
      </c>
      <c r="D36" s="16">
        <v>5</v>
      </c>
      <c r="E36" s="50" t="s">
        <v>159</v>
      </c>
      <c r="F36" s="16">
        <v>2</v>
      </c>
      <c r="G36" s="16">
        <v>0</v>
      </c>
      <c r="H36" s="56">
        <f t="shared" si="0"/>
        <v>0</v>
      </c>
      <c r="I36" s="16">
        <v>0</v>
      </c>
      <c r="J36" s="36">
        <v>0</v>
      </c>
      <c r="K36" s="36">
        <v>0</v>
      </c>
      <c r="L36" s="1">
        <v>0</v>
      </c>
      <c r="M36" s="21">
        <v>0</v>
      </c>
      <c r="N36" s="21">
        <v>0</v>
      </c>
      <c r="O36" s="21">
        <v>0</v>
      </c>
      <c r="P36" s="21">
        <v>0</v>
      </c>
    </row>
    <row r="37" spans="1:16" x14ac:dyDescent="0.2">
      <c r="A37" s="42">
        <v>43705</v>
      </c>
      <c r="B37" s="1">
        <v>1</v>
      </c>
      <c r="C37" s="33" t="s">
        <v>31</v>
      </c>
      <c r="D37" s="16">
        <v>5</v>
      </c>
      <c r="E37" s="50" t="s">
        <v>159</v>
      </c>
      <c r="F37" s="16">
        <v>2</v>
      </c>
      <c r="G37" s="16">
        <v>0</v>
      </c>
      <c r="H37" s="56">
        <f t="shared" si="0"/>
        <v>0</v>
      </c>
      <c r="I37" s="16">
        <v>0</v>
      </c>
      <c r="J37" s="36">
        <v>0</v>
      </c>
      <c r="K37" s="36">
        <v>0</v>
      </c>
      <c r="L37" s="1">
        <v>0</v>
      </c>
      <c r="M37" s="21">
        <v>0</v>
      </c>
      <c r="N37" s="21">
        <v>0</v>
      </c>
      <c r="O37" s="21">
        <v>0</v>
      </c>
      <c r="P37" s="21">
        <v>0</v>
      </c>
    </row>
    <row r="38" spans="1:16" x14ac:dyDescent="0.2">
      <c r="A38" s="42">
        <v>43712</v>
      </c>
      <c r="B38" s="1">
        <v>2</v>
      </c>
      <c r="C38" s="33" t="s">
        <v>31</v>
      </c>
      <c r="D38" s="16">
        <v>5</v>
      </c>
      <c r="E38" s="50" t="s">
        <v>159</v>
      </c>
      <c r="F38" s="16">
        <v>2</v>
      </c>
      <c r="G38" s="16">
        <v>0</v>
      </c>
      <c r="H38" s="56">
        <f t="shared" si="0"/>
        <v>0</v>
      </c>
      <c r="I38" s="16">
        <v>0</v>
      </c>
      <c r="J38" s="36">
        <v>0</v>
      </c>
      <c r="K38" s="36">
        <v>0</v>
      </c>
      <c r="L38" s="1">
        <v>0</v>
      </c>
      <c r="M38" s="21">
        <v>0</v>
      </c>
      <c r="N38" s="21">
        <v>0</v>
      </c>
      <c r="O38" s="21">
        <v>0</v>
      </c>
      <c r="P38" s="21">
        <v>0</v>
      </c>
    </row>
    <row r="39" spans="1:16" x14ac:dyDescent="0.2">
      <c r="A39" s="42">
        <v>43720</v>
      </c>
      <c r="B39" s="1">
        <v>3</v>
      </c>
      <c r="C39" s="33" t="s">
        <v>31</v>
      </c>
      <c r="D39" s="16">
        <v>5</v>
      </c>
      <c r="E39" s="50" t="s">
        <v>159</v>
      </c>
      <c r="F39" s="16">
        <v>2</v>
      </c>
      <c r="G39" s="16">
        <v>0</v>
      </c>
      <c r="H39" s="56">
        <f t="shared" si="0"/>
        <v>0</v>
      </c>
      <c r="I39" s="16">
        <v>0</v>
      </c>
      <c r="J39" s="36">
        <v>0</v>
      </c>
      <c r="K39" s="36">
        <v>0</v>
      </c>
      <c r="L39" s="1">
        <v>0</v>
      </c>
      <c r="M39" s="21">
        <v>0</v>
      </c>
      <c r="N39" s="21">
        <v>0</v>
      </c>
      <c r="O39" s="21">
        <v>0</v>
      </c>
      <c r="P39" s="21">
        <v>0</v>
      </c>
    </row>
    <row r="40" spans="1:16" x14ac:dyDescent="0.2">
      <c r="A40" s="42">
        <v>43727</v>
      </c>
      <c r="B40" s="1">
        <v>4</v>
      </c>
      <c r="C40" s="33" t="s">
        <v>31</v>
      </c>
      <c r="D40" s="16">
        <v>5</v>
      </c>
      <c r="E40" s="50" t="s">
        <v>159</v>
      </c>
      <c r="F40" s="16">
        <v>2</v>
      </c>
      <c r="G40" s="16">
        <v>0</v>
      </c>
      <c r="H40" s="56">
        <f>G40/F40</f>
        <v>0</v>
      </c>
      <c r="I40" s="16">
        <v>0</v>
      </c>
      <c r="J40" s="36">
        <v>0</v>
      </c>
      <c r="K40" s="36">
        <v>0</v>
      </c>
      <c r="L40" s="1">
        <v>0</v>
      </c>
      <c r="M40" s="21">
        <v>0</v>
      </c>
      <c r="N40" s="21">
        <v>0</v>
      </c>
      <c r="O40" s="21">
        <v>0</v>
      </c>
      <c r="P40" s="21">
        <v>0</v>
      </c>
    </row>
    <row r="41" spans="1:16" x14ac:dyDescent="0.2">
      <c r="A41" s="57">
        <v>43656</v>
      </c>
      <c r="B41" s="1" t="s">
        <v>127</v>
      </c>
      <c r="C41" s="33" t="s">
        <v>32</v>
      </c>
      <c r="D41" s="16">
        <v>6</v>
      </c>
      <c r="E41" s="50" t="s">
        <v>14</v>
      </c>
      <c r="F41" s="16">
        <v>4</v>
      </c>
      <c r="G41" s="16">
        <v>0</v>
      </c>
      <c r="H41" s="56">
        <f t="shared" si="0"/>
        <v>0</v>
      </c>
      <c r="I41" s="16">
        <v>0</v>
      </c>
      <c r="J41" s="36">
        <v>0</v>
      </c>
      <c r="K41" s="36">
        <v>0</v>
      </c>
      <c r="L41" s="1">
        <v>0</v>
      </c>
      <c r="M41" s="21">
        <v>0</v>
      </c>
      <c r="N41" s="21">
        <v>0</v>
      </c>
      <c r="O41" s="21">
        <v>0</v>
      </c>
      <c r="P41" s="21">
        <v>0</v>
      </c>
    </row>
    <row r="42" spans="1:16" x14ac:dyDescent="0.2">
      <c r="A42" s="57">
        <v>43662</v>
      </c>
      <c r="B42" s="1" t="s">
        <v>127</v>
      </c>
      <c r="C42" s="33" t="s">
        <v>32</v>
      </c>
      <c r="D42" s="16">
        <v>6</v>
      </c>
      <c r="E42" s="50" t="s">
        <v>14</v>
      </c>
      <c r="F42" s="16">
        <v>4</v>
      </c>
      <c r="G42" s="16">
        <v>0</v>
      </c>
      <c r="H42" s="56">
        <f t="shared" si="0"/>
        <v>0</v>
      </c>
      <c r="I42" s="16">
        <v>0</v>
      </c>
      <c r="J42" s="36">
        <v>0</v>
      </c>
      <c r="K42" s="36">
        <v>0</v>
      </c>
      <c r="L42" s="1">
        <v>0</v>
      </c>
      <c r="M42" s="21">
        <v>0</v>
      </c>
      <c r="N42" s="21">
        <v>0</v>
      </c>
      <c r="O42" s="21">
        <v>0</v>
      </c>
      <c r="P42" s="21">
        <v>0</v>
      </c>
    </row>
    <row r="43" spans="1:16" x14ac:dyDescent="0.2">
      <c r="A43" s="57">
        <v>43676</v>
      </c>
      <c r="B43" s="1" t="s">
        <v>127</v>
      </c>
      <c r="C43" s="33" t="s">
        <v>32</v>
      </c>
      <c r="D43" s="16">
        <v>6</v>
      </c>
      <c r="E43" s="50" t="s">
        <v>14</v>
      </c>
      <c r="F43" s="16">
        <v>4</v>
      </c>
      <c r="G43" s="16">
        <v>0</v>
      </c>
      <c r="H43" s="56">
        <f t="shared" si="0"/>
        <v>0</v>
      </c>
      <c r="I43" s="16">
        <v>0</v>
      </c>
      <c r="J43" s="36">
        <v>0</v>
      </c>
      <c r="K43" s="36">
        <v>0</v>
      </c>
      <c r="L43" s="1">
        <v>0</v>
      </c>
      <c r="M43" s="21">
        <v>0</v>
      </c>
      <c r="N43" s="21">
        <v>0</v>
      </c>
      <c r="O43" s="21">
        <v>0</v>
      </c>
      <c r="P43" s="21">
        <v>0</v>
      </c>
    </row>
    <row r="44" spans="1:16" x14ac:dyDescent="0.2">
      <c r="A44" s="57">
        <v>43686</v>
      </c>
      <c r="B44" s="1" t="s">
        <v>127</v>
      </c>
      <c r="C44" s="33" t="s">
        <v>32</v>
      </c>
      <c r="D44" s="16">
        <v>6</v>
      </c>
      <c r="E44" s="50" t="s">
        <v>14</v>
      </c>
      <c r="F44" s="16">
        <v>4</v>
      </c>
      <c r="G44" s="16">
        <v>0</v>
      </c>
      <c r="H44" s="56">
        <f t="shared" si="0"/>
        <v>0</v>
      </c>
      <c r="I44" s="16">
        <v>0</v>
      </c>
      <c r="J44" s="36">
        <v>0</v>
      </c>
      <c r="K44" s="36">
        <v>0</v>
      </c>
      <c r="L44" s="1">
        <v>0</v>
      </c>
      <c r="M44" s="21">
        <v>0</v>
      </c>
      <c r="N44" s="21">
        <v>0</v>
      </c>
      <c r="O44" s="21">
        <v>0</v>
      </c>
      <c r="P44" s="21">
        <v>0</v>
      </c>
    </row>
    <row r="45" spans="1:16" x14ac:dyDescent="0.2">
      <c r="A45" s="57">
        <v>43692</v>
      </c>
      <c r="B45" s="1" t="s">
        <v>127</v>
      </c>
      <c r="C45" s="33" t="s">
        <v>32</v>
      </c>
      <c r="D45" s="16">
        <v>6</v>
      </c>
      <c r="E45" s="50" t="s">
        <v>14</v>
      </c>
      <c r="F45" s="16">
        <v>4</v>
      </c>
      <c r="G45" s="16">
        <v>0</v>
      </c>
      <c r="H45" s="56">
        <f t="shared" si="0"/>
        <v>0</v>
      </c>
      <c r="I45" s="16">
        <v>1</v>
      </c>
      <c r="J45" s="36">
        <v>0</v>
      </c>
      <c r="K45" s="36">
        <v>0</v>
      </c>
      <c r="L45" s="1">
        <v>0</v>
      </c>
      <c r="M45" s="21">
        <v>0</v>
      </c>
      <c r="N45" s="21">
        <v>0</v>
      </c>
      <c r="O45" s="21">
        <v>0</v>
      </c>
      <c r="P45" s="21">
        <v>0</v>
      </c>
    </row>
    <row r="46" spans="1:16" x14ac:dyDescent="0.2">
      <c r="A46" s="57">
        <v>43698</v>
      </c>
      <c r="B46" s="1" t="s">
        <v>127</v>
      </c>
      <c r="C46" s="33" t="s">
        <v>32</v>
      </c>
      <c r="D46" s="16">
        <v>6</v>
      </c>
      <c r="E46" s="50" t="s">
        <v>14</v>
      </c>
      <c r="F46" s="16">
        <v>4</v>
      </c>
      <c r="G46" s="16">
        <v>0</v>
      </c>
      <c r="H46" s="56">
        <f t="shared" si="0"/>
        <v>0</v>
      </c>
      <c r="I46" s="16">
        <v>0</v>
      </c>
      <c r="J46" s="36">
        <v>0</v>
      </c>
      <c r="K46" s="36">
        <v>0</v>
      </c>
      <c r="L46" s="1">
        <v>0</v>
      </c>
      <c r="M46" s="21">
        <v>0</v>
      </c>
      <c r="N46" s="21">
        <v>0</v>
      </c>
      <c r="O46" s="21">
        <v>0</v>
      </c>
      <c r="P46" s="21">
        <v>0</v>
      </c>
    </row>
    <row r="47" spans="1:16" x14ac:dyDescent="0.2">
      <c r="A47" s="57">
        <v>43705</v>
      </c>
      <c r="B47" s="1">
        <v>1</v>
      </c>
      <c r="C47" s="33" t="s">
        <v>32</v>
      </c>
      <c r="D47" s="16">
        <v>6</v>
      </c>
      <c r="E47" s="50" t="s">
        <v>14</v>
      </c>
      <c r="F47" s="16">
        <v>4</v>
      </c>
      <c r="G47" s="16">
        <v>0</v>
      </c>
      <c r="H47" s="56">
        <f t="shared" si="0"/>
        <v>0</v>
      </c>
      <c r="I47" s="16">
        <v>0</v>
      </c>
      <c r="J47" s="36">
        <v>0</v>
      </c>
      <c r="K47" s="36">
        <v>0</v>
      </c>
      <c r="L47" s="1">
        <v>0</v>
      </c>
      <c r="M47" s="21">
        <v>0</v>
      </c>
      <c r="N47" s="21">
        <v>0</v>
      </c>
      <c r="O47" s="21">
        <v>0</v>
      </c>
      <c r="P47" s="21">
        <v>0</v>
      </c>
    </row>
    <row r="48" spans="1:16" x14ac:dyDescent="0.2">
      <c r="A48" s="57">
        <v>43712</v>
      </c>
      <c r="B48" s="1">
        <v>2</v>
      </c>
      <c r="C48" s="33" t="s">
        <v>32</v>
      </c>
      <c r="D48" s="16">
        <v>6</v>
      </c>
      <c r="E48" s="50" t="s">
        <v>14</v>
      </c>
      <c r="F48" s="16">
        <v>4</v>
      </c>
      <c r="G48" s="16">
        <v>0</v>
      </c>
      <c r="H48" s="56">
        <f t="shared" si="0"/>
        <v>0</v>
      </c>
      <c r="I48" s="16">
        <v>0</v>
      </c>
      <c r="J48" s="36">
        <v>0</v>
      </c>
      <c r="K48" s="36">
        <v>0</v>
      </c>
      <c r="L48" s="1">
        <v>0</v>
      </c>
      <c r="M48" s="21">
        <v>0</v>
      </c>
      <c r="N48" s="21">
        <v>0</v>
      </c>
      <c r="O48" s="21">
        <v>0</v>
      </c>
      <c r="P48" s="21">
        <v>0</v>
      </c>
    </row>
    <row r="49" spans="1:16" x14ac:dyDescent="0.2">
      <c r="A49" s="57">
        <v>43720</v>
      </c>
      <c r="B49" s="1">
        <v>3</v>
      </c>
      <c r="C49" s="33" t="s">
        <v>32</v>
      </c>
      <c r="D49" s="16">
        <v>6</v>
      </c>
      <c r="E49" s="50" t="s">
        <v>14</v>
      </c>
      <c r="F49" s="16">
        <v>4</v>
      </c>
      <c r="G49" s="16">
        <v>0</v>
      </c>
      <c r="H49" s="56">
        <f t="shared" si="0"/>
        <v>0</v>
      </c>
      <c r="I49" s="16">
        <v>0</v>
      </c>
      <c r="J49" s="36">
        <v>0</v>
      </c>
      <c r="K49" s="36">
        <v>0</v>
      </c>
      <c r="L49" s="1">
        <v>0</v>
      </c>
      <c r="M49" s="21">
        <v>0</v>
      </c>
      <c r="N49" s="21">
        <v>0</v>
      </c>
      <c r="O49" s="21">
        <v>0</v>
      </c>
      <c r="P49" s="21">
        <v>0</v>
      </c>
    </row>
    <row r="50" spans="1:16" x14ac:dyDescent="0.2">
      <c r="A50" s="57">
        <v>43727</v>
      </c>
      <c r="B50" s="1">
        <v>4</v>
      </c>
      <c r="C50" s="33" t="s">
        <v>32</v>
      </c>
      <c r="D50" s="16">
        <v>6</v>
      </c>
      <c r="E50" s="50" t="s">
        <v>14</v>
      </c>
      <c r="F50" s="16">
        <v>4</v>
      </c>
      <c r="G50" s="16">
        <v>0</v>
      </c>
      <c r="H50" s="56">
        <f>G50/F50</f>
        <v>0</v>
      </c>
      <c r="I50" s="16">
        <v>0</v>
      </c>
      <c r="J50" s="36">
        <v>0</v>
      </c>
      <c r="K50" s="36">
        <v>0</v>
      </c>
      <c r="L50" s="1">
        <v>0</v>
      </c>
      <c r="M50" s="21">
        <v>0</v>
      </c>
      <c r="N50" s="21">
        <v>0</v>
      </c>
      <c r="O50" s="21">
        <v>0</v>
      </c>
      <c r="P50" s="21">
        <v>0</v>
      </c>
    </row>
    <row r="51" spans="1:16" x14ac:dyDescent="0.2">
      <c r="A51" s="42">
        <v>43651</v>
      </c>
      <c r="B51" s="1" t="s">
        <v>127</v>
      </c>
      <c r="C51" s="33" t="s">
        <v>33</v>
      </c>
      <c r="D51" s="16">
        <v>7</v>
      </c>
      <c r="E51" s="50" t="s">
        <v>15</v>
      </c>
      <c r="F51" s="16">
        <v>3</v>
      </c>
      <c r="G51" s="33">
        <v>0</v>
      </c>
      <c r="H51" s="51">
        <f t="shared" si="0"/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</row>
    <row r="52" spans="1:16" x14ac:dyDescent="0.2">
      <c r="A52" s="42">
        <v>43658</v>
      </c>
      <c r="B52" s="1" t="s">
        <v>127</v>
      </c>
      <c r="C52" s="33" t="s">
        <v>33</v>
      </c>
      <c r="D52" s="16">
        <v>7</v>
      </c>
      <c r="E52" s="50" t="s">
        <v>15</v>
      </c>
      <c r="F52" s="16">
        <v>3</v>
      </c>
      <c r="G52" s="33">
        <v>0</v>
      </c>
      <c r="H52" s="51">
        <f t="shared" si="0"/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</row>
    <row r="53" spans="1:16" x14ac:dyDescent="0.2">
      <c r="A53" s="42">
        <v>43662</v>
      </c>
      <c r="B53" s="1" t="s">
        <v>127</v>
      </c>
      <c r="C53" s="33" t="s">
        <v>33</v>
      </c>
      <c r="D53" s="16">
        <v>7</v>
      </c>
      <c r="E53" s="50" t="s">
        <v>15</v>
      </c>
      <c r="F53" s="16">
        <v>3</v>
      </c>
      <c r="G53" s="33">
        <v>0</v>
      </c>
      <c r="H53" s="51">
        <f t="shared" si="0"/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s="40">
        <v>0</v>
      </c>
    </row>
    <row r="54" spans="1:16" x14ac:dyDescent="0.2">
      <c r="A54" s="42">
        <v>43669</v>
      </c>
      <c r="B54" s="1" t="s">
        <v>127</v>
      </c>
      <c r="C54" s="33" t="s">
        <v>33</v>
      </c>
      <c r="D54" s="16">
        <v>7</v>
      </c>
      <c r="E54" s="50" t="s">
        <v>15</v>
      </c>
      <c r="F54" s="16">
        <v>3</v>
      </c>
      <c r="G54" s="33">
        <v>0</v>
      </c>
      <c r="H54" s="51">
        <f t="shared" si="0"/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</row>
    <row r="55" spans="1:16" x14ac:dyDescent="0.2">
      <c r="A55" s="42">
        <v>43675</v>
      </c>
      <c r="B55" s="1" t="s">
        <v>127</v>
      </c>
      <c r="C55" s="33" t="s">
        <v>33</v>
      </c>
      <c r="D55" s="16">
        <v>7</v>
      </c>
      <c r="E55" s="50" t="s">
        <v>15</v>
      </c>
      <c r="F55" s="16">
        <v>3</v>
      </c>
      <c r="G55" s="33">
        <v>0</v>
      </c>
      <c r="H55" s="51">
        <f t="shared" si="0"/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0">
        <v>0</v>
      </c>
      <c r="P55" s="40">
        <v>0</v>
      </c>
    </row>
    <row r="56" spans="1:16" x14ac:dyDescent="0.2">
      <c r="A56" s="42">
        <v>43683</v>
      </c>
      <c r="B56" s="1" t="s">
        <v>127</v>
      </c>
      <c r="C56" s="33" t="s">
        <v>33</v>
      </c>
      <c r="D56" s="16">
        <v>7</v>
      </c>
      <c r="E56" s="50" t="s">
        <v>15</v>
      </c>
      <c r="F56" s="16">
        <v>3</v>
      </c>
      <c r="G56" s="33">
        <v>0</v>
      </c>
      <c r="H56" s="51">
        <f t="shared" si="0"/>
        <v>0</v>
      </c>
      <c r="I56" s="40">
        <v>1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</row>
    <row r="57" spans="1:16" x14ac:dyDescent="0.2">
      <c r="A57" s="42">
        <v>43689</v>
      </c>
      <c r="B57" s="1" t="s">
        <v>127</v>
      </c>
      <c r="C57" s="33" t="s">
        <v>33</v>
      </c>
      <c r="D57" s="16">
        <v>7</v>
      </c>
      <c r="E57" s="50" t="s">
        <v>15</v>
      </c>
      <c r="F57" s="16">
        <v>3</v>
      </c>
      <c r="G57" s="33">
        <v>0</v>
      </c>
      <c r="H57" s="51">
        <f t="shared" si="0"/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0">
        <v>0</v>
      </c>
    </row>
    <row r="58" spans="1:16" x14ac:dyDescent="0.2">
      <c r="A58" s="42">
        <v>43700</v>
      </c>
      <c r="B58" s="1" t="s">
        <v>127</v>
      </c>
      <c r="C58" s="33" t="s">
        <v>33</v>
      </c>
      <c r="D58" s="16">
        <v>7</v>
      </c>
      <c r="E58" s="50" t="s">
        <v>15</v>
      </c>
      <c r="F58" s="16">
        <v>3</v>
      </c>
      <c r="G58" s="33">
        <v>0</v>
      </c>
      <c r="H58" s="51">
        <f t="shared" si="0"/>
        <v>0</v>
      </c>
      <c r="I58" s="40">
        <v>1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</row>
    <row r="59" spans="1:16" x14ac:dyDescent="0.2">
      <c r="A59" s="42">
        <v>43705</v>
      </c>
      <c r="B59" s="1">
        <v>1</v>
      </c>
      <c r="C59" s="33" t="s">
        <v>33</v>
      </c>
      <c r="D59" s="16">
        <v>7</v>
      </c>
      <c r="E59" s="50" t="s">
        <v>15</v>
      </c>
      <c r="F59" s="16">
        <v>3</v>
      </c>
      <c r="G59" s="33">
        <v>0</v>
      </c>
      <c r="H59" s="51">
        <f t="shared" si="0"/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</row>
    <row r="60" spans="1:16" x14ac:dyDescent="0.2">
      <c r="A60" s="42">
        <v>43712</v>
      </c>
      <c r="B60" s="1">
        <v>2</v>
      </c>
      <c r="C60" s="33" t="s">
        <v>33</v>
      </c>
      <c r="D60" s="16">
        <v>7</v>
      </c>
      <c r="E60" s="50" t="s">
        <v>15</v>
      </c>
      <c r="F60" s="16">
        <v>3</v>
      </c>
      <c r="G60" s="33">
        <v>0</v>
      </c>
      <c r="H60" s="51">
        <f t="shared" si="0"/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</row>
    <row r="61" spans="1:16" x14ac:dyDescent="0.2">
      <c r="A61" s="42">
        <v>43719</v>
      </c>
      <c r="B61" s="1">
        <v>3</v>
      </c>
      <c r="C61" s="33" t="s">
        <v>33</v>
      </c>
      <c r="D61" s="16">
        <v>7</v>
      </c>
      <c r="E61" s="50" t="s">
        <v>15</v>
      </c>
      <c r="F61" s="16">
        <v>3</v>
      </c>
      <c r="G61" s="33">
        <v>0</v>
      </c>
      <c r="H61" s="51">
        <f t="shared" si="0"/>
        <v>0</v>
      </c>
      <c r="I61" s="40">
        <v>2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</row>
    <row r="62" spans="1:16" x14ac:dyDescent="0.2">
      <c r="A62" s="42">
        <v>43727</v>
      </c>
      <c r="B62" s="1">
        <v>4</v>
      </c>
      <c r="C62" s="33" t="s">
        <v>33</v>
      </c>
      <c r="D62" s="16">
        <v>7</v>
      </c>
      <c r="E62" s="50" t="s">
        <v>15</v>
      </c>
      <c r="F62" s="16">
        <v>3</v>
      </c>
      <c r="G62" s="33">
        <v>1</v>
      </c>
      <c r="H62" s="51">
        <f>G62/F62</f>
        <v>0.33333333333333331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</row>
    <row r="63" spans="1:16" x14ac:dyDescent="0.2">
      <c r="A63" s="42">
        <v>43734</v>
      </c>
      <c r="B63" s="1">
        <v>5</v>
      </c>
      <c r="C63" s="33" t="s">
        <v>33</v>
      </c>
      <c r="D63" s="16">
        <v>7</v>
      </c>
      <c r="E63" s="50" t="s">
        <v>15</v>
      </c>
      <c r="F63" s="16">
        <v>3</v>
      </c>
      <c r="G63" s="33">
        <v>0</v>
      </c>
      <c r="H63" s="51">
        <f>G63/F63</f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  <c r="P63" s="40">
        <v>0</v>
      </c>
    </row>
    <row r="64" spans="1:16" x14ac:dyDescent="0.2">
      <c r="A64" s="42">
        <v>43642</v>
      </c>
      <c r="B64" s="1" t="s">
        <v>127</v>
      </c>
      <c r="C64" s="33" t="s">
        <v>34</v>
      </c>
      <c r="D64" s="16">
        <v>8</v>
      </c>
      <c r="E64" s="50" t="s">
        <v>16</v>
      </c>
      <c r="F64" s="33">
        <v>3</v>
      </c>
      <c r="G64" s="33">
        <v>0</v>
      </c>
      <c r="H64" s="51">
        <f t="shared" si="0"/>
        <v>0</v>
      </c>
      <c r="I64" s="40">
        <v>2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</row>
    <row r="65" spans="1:17" x14ac:dyDescent="0.2">
      <c r="A65" s="42">
        <v>43644</v>
      </c>
      <c r="B65" s="1" t="s">
        <v>127</v>
      </c>
      <c r="C65" s="33" t="s">
        <v>34</v>
      </c>
      <c r="D65" s="16">
        <v>8</v>
      </c>
      <c r="E65" s="50" t="s">
        <v>16</v>
      </c>
      <c r="F65" s="33">
        <v>3</v>
      </c>
      <c r="G65" s="33">
        <v>0</v>
      </c>
      <c r="H65" s="51">
        <f t="shared" si="0"/>
        <v>0</v>
      </c>
      <c r="I65" s="40">
        <v>8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40">
        <v>0</v>
      </c>
      <c r="P65" s="40">
        <v>0</v>
      </c>
    </row>
    <row r="66" spans="1:17" x14ac:dyDescent="0.2">
      <c r="A66" s="42">
        <v>43651</v>
      </c>
      <c r="B66" s="1" t="s">
        <v>127</v>
      </c>
      <c r="C66" s="33" t="s">
        <v>34</v>
      </c>
      <c r="D66" s="16">
        <v>8</v>
      </c>
      <c r="E66" s="50" t="s">
        <v>16</v>
      </c>
      <c r="F66" s="33">
        <v>3</v>
      </c>
      <c r="G66" s="33">
        <v>0</v>
      </c>
      <c r="H66" s="51">
        <f t="shared" si="0"/>
        <v>0</v>
      </c>
      <c r="I66" s="40">
        <v>9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</row>
    <row r="67" spans="1:17" x14ac:dyDescent="0.2">
      <c r="A67" s="42">
        <v>43658</v>
      </c>
      <c r="B67" s="1" t="s">
        <v>127</v>
      </c>
      <c r="C67" s="33" t="s">
        <v>34</v>
      </c>
      <c r="D67" s="16">
        <v>8</v>
      </c>
      <c r="E67" s="50" t="s">
        <v>16</v>
      </c>
      <c r="F67" s="33">
        <v>3</v>
      </c>
      <c r="G67" s="33">
        <v>0</v>
      </c>
      <c r="H67" s="51">
        <f t="shared" si="0"/>
        <v>0</v>
      </c>
      <c r="I67" s="40">
        <v>9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  <c r="O67" s="40">
        <v>0</v>
      </c>
      <c r="P67" s="40">
        <v>0</v>
      </c>
    </row>
    <row r="68" spans="1:17" x14ac:dyDescent="0.2">
      <c r="A68" s="42">
        <v>43662</v>
      </c>
      <c r="B68" s="1" t="s">
        <v>127</v>
      </c>
      <c r="C68" s="33" t="s">
        <v>34</v>
      </c>
      <c r="D68" s="16">
        <v>8</v>
      </c>
      <c r="E68" s="50" t="s">
        <v>16</v>
      </c>
      <c r="F68" s="33">
        <v>3</v>
      </c>
      <c r="G68" s="33">
        <v>0</v>
      </c>
      <c r="H68" s="51">
        <f t="shared" si="0"/>
        <v>0</v>
      </c>
      <c r="I68" s="40">
        <v>15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</row>
    <row r="69" spans="1:17" x14ac:dyDescent="0.2">
      <c r="A69" s="42">
        <v>43669</v>
      </c>
      <c r="B69" s="1" t="s">
        <v>127</v>
      </c>
      <c r="C69" s="33" t="s">
        <v>34</v>
      </c>
      <c r="D69" s="16">
        <v>8</v>
      </c>
      <c r="E69" s="50" t="s">
        <v>16</v>
      </c>
      <c r="F69" s="33">
        <v>3</v>
      </c>
      <c r="G69" s="33">
        <v>0</v>
      </c>
      <c r="H69" s="51">
        <f t="shared" si="0"/>
        <v>0</v>
      </c>
      <c r="I69" s="40">
        <v>11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15"/>
    </row>
    <row r="70" spans="1:17" x14ac:dyDescent="0.2">
      <c r="A70" s="42">
        <v>43675</v>
      </c>
      <c r="B70" s="1" t="s">
        <v>127</v>
      </c>
      <c r="C70" s="33" t="s">
        <v>34</v>
      </c>
      <c r="D70" s="16">
        <v>8</v>
      </c>
      <c r="E70" s="50" t="s">
        <v>16</v>
      </c>
      <c r="F70" s="33">
        <v>3</v>
      </c>
      <c r="G70" s="33">
        <v>0</v>
      </c>
      <c r="H70" s="51">
        <f t="shared" si="0"/>
        <v>0</v>
      </c>
      <c r="I70" s="40">
        <v>5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</row>
    <row r="71" spans="1:17" x14ac:dyDescent="0.2">
      <c r="A71" s="42">
        <v>43683</v>
      </c>
      <c r="B71" s="1" t="s">
        <v>127</v>
      </c>
      <c r="C71" s="33" t="s">
        <v>34</v>
      </c>
      <c r="D71" s="16">
        <v>8</v>
      </c>
      <c r="E71" s="50" t="s">
        <v>16</v>
      </c>
      <c r="F71" s="33">
        <v>3</v>
      </c>
      <c r="G71" s="33">
        <v>0</v>
      </c>
      <c r="H71" s="51">
        <f t="shared" si="0"/>
        <v>0</v>
      </c>
      <c r="I71" s="40">
        <v>4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0</v>
      </c>
      <c r="P71" s="40">
        <v>0</v>
      </c>
    </row>
    <row r="72" spans="1:17" x14ac:dyDescent="0.2">
      <c r="A72" s="42">
        <v>43689</v>
      </c>
      <c r="B72" s="1" t="s">
        <v>127</v>
      </c>
      <c r="C72" s="33" t="s">
        <v>34</v>
      </c>
      <c r="D72" s="16">
        <v>8</v>
      </c>
      <c r="E72" s="50" t="s">
        <v>16</v>
      </c>
      <c r="F72" s="33">
        <v>3</v>
      </c>
      <c r="G72" s="33">
        <v>0</v>
      </c>
      <c r="H72" s="51">
        <f t="shared" si="0"/>
        <v>0</v>
      </c>
      <c r="I72" s="40">
        <v>4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</row>
    <row r="73" spans="1:17" x14ac:dyDescent="0.2">
      <c r="A73" s="42">
        <v>43700</v>
      </c>
      <c r="B73" s="1" t="s">
        <v>127</v>
      </c>
      <c r="C73" s="33" t="s">
        <v>34</v>
      </c>
      <c r="D73" s="16">
        <v>8</v>
      </c>
      <c r="E73" s="50" t="s">
        <v>16</v>
      </c>
      <c r="F73" s="33">
        <v>3</v>
      </c>
      <c r="G73" s="33">
        <v>0</v>
      </c>
      <c r="H73" s="51">
        <f t="shared" si="0"/>
        <v>0</v>
      </c>
      <c r="I73" s="40">
        <v>1</v>
      </c>
      <c r="J73" s="40">
        <v>0</v>
      </c>
      <c r="K73" s="40">
        <v>0</v>
      </c>
      <c r="L73" s="40">
        <v>0</v>
      </c>
      <c r="M73" s="40">
        <v>0</v>
      </c>
      <c r="N73" s="40">
        <v>0</v>
      </c>
      <c r="O73" s="40">
        <v>0</v>
      </c>
      <c r="P73" s="40">
        <v>0</v>
      </c>
    </row>
    <row r="74" spans="1:17" x14ac:dyDescent="0.2">
      <c r="A74" s="42">
        <v>43705</v>
      </c>
      <c r="B74" s="1">
        <v>1</v>
      </c>
      <c r="C74" s="33" t="s">
        <v>34</v>
      </c>
      <c r="D74" s="16">
        <v>8</v>
      </c>
      <c r="E74" s="50" t="s">
        <v>16</v>
      </c>
      <c r="F74" s="33">
        <v>3</v>
      </c>
      <c r="G74" s="33">
        <v>0</v>
      </c>
      <c r="H74" s="51">
        <f t="shared" si="0"/>
        <v>0</v>
      </c>
      <c r="I74" s="40">
        <v>1</v>
      </c>
      <c r="J74" s="40">
        <v>1</v>
      </c>
      <c r="K74" s="40">
        <v>0</v>
      </c>
      <c r="L74" s="40">
        <v>1</v>
      </c>
      <c r="M74" s="40">
        <v>0</v>
      </c>
      <c r="N74" s="40">
        <v>0</v>
      </c>
      <c r="O74" s="40">
        <v>0</v>
      </c>
      <c r="P74" s="40">
        <v>0</v>
      </c>
    </row>
    <row r="75" spans="1:17" x14ac:dyDescent="0.2">
      <c r="A75" s="42">
        <v>43712</v>
      </c>
      <c r="B75" s="1">
        <v>2</v>
      </c>
      <c r="C75" s="33" t="s">
        <v>34</v>
      </c>
      <c r="D75" s="16">
        <v>8</v>
      </c>
      <c r="E75" s="50" t="s">
        <v>16</v>
      </c>
      <c r="F75" s="33">
        <v>3</v>
      </c>
      <c r="G75" s="33">
        <v>0</v>
      </c>
      <c r="H75" s="51">
        <f t="shared" si="0"/>
        <v>0</v>
      </c>
      <c r="I75" s="40">
        <v>0</v>
      </c>
      <c r="J75" s="40">
        <v>1</v>
      </c>
      <c r="K75" s="40">
        <v>0</v>
      </c>
      <c r="L75" s="40">
        <v>0</v>
      </c>
      <c r="M75" s="40">
        <v>1</v>
      </c>
      <c r="N75" s="40">
        <v>0</v>
      </c>
      <c r="O75" s="40">
        <v>0</v>
      </c>
      <c r="P75" s="40">
        <v>0</v>
      </c>
    </row>
    <row r="76" spans="1:17" x14ac:dyDescent="0.2">
      <c r="A76" s="42">
        <v>43719</v>
      </c>
      <c r="B76" s="1">
        <v>3</v>
      </c>
      <c r="C76" s="33" t="s">
        <v>34</v>
      </c>
      <c r="D76" s="16">
        <v>8</v>
      </c>
      <c r="E76" s="50" t="s">
        <v>16</v>
      </c>
      <c r="F76" s="33">
        <v>3</v>
      </c>
      <c r="G76" s="33">
        <v>3</v>
      </c>
      <c r="H76" s="51">
        <f t="shared" si="0"/>
        <v>1</v>
      </c>
      <c r="I76" s="40">
        <v>4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</row>
    <row r="77" spans="1:17" x14ac:dyDescent="0.2">
      <c r="A77" s="42">
        <v>43726</v>
      </c>
      <c r="B77" s="1">
        <v>4</v>
      </c>
      <c r="C77" s="33" t="s">
        <v>34</v>
      </c>
      <c r="D77" s="16">
        <v>8</v>
      </c>
      <c r="E77" s="50" t="s">
        <v>16</v>
      </c>
      <c r="F77" s="33">
        <v>3</v>
      </c>
      <c r="G77" s="33">
        <v>3</v>
      </c>
      <c r="H77" s="51">
        <f t="shared" si="0"/>
        <v>1</v>
      </c>
      <c r="I77" s="40">
        <v>2</v>
      </c>
      <c r="J77" s="40">
        <v>0</v>
      </c>
      <c r="K77" s="40">
        <v>1</v>
      </c>
      <c r="L77" s="40">
        <v>0</v>
      </c>
      <c r="M77" s="40">
        <v>0</v>
      </c>
      <c r="N77" s="40">
        <v>0</v>
      </c>
      <c r="O77" s="40">
        <v>1</v>
      </c>
      <c r="P77" s="40">
        <v>0</v>
      </c>
    </row>
    <row r="78" spans="1:17" x14ac:dyDescent="0.2">
      <c r="A78" s="42">
        <v>43734</v>
      </c>
      <c r="B78" s="1">
        <v>5</v>
      </c>
      <c r="C78" s="33" t="s">
        <v>34</v>
      </c>
      <c r="D78" s="16">
        <v>8</v>
      </c>
      <c r="E78" s="50" t="s">
        <v>16</v>
      </c>
      <c r="F78" s="33">
        <v>3</v>
      </c>
      <c r="G78" s="33">
        <v>0</v>
      </c>
      <c r="H78" s="51">
        <f t="shared" si="0"/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  <c r="P78" s="40">
        <v>0</v>
      </c>
    </row>
    <row r="79" spans="1:17" x14ac:dyDescent="0.2">
      <c r="A79" s="42">
        <v>43648</v>
      </c>
      <c r="B79" s="1" t="s">
        <v>127</v>
      </c>
      <c r="C79" s="33" t="s">
        <v>35</v>
      </c>
      <c r="D79" s="16">
        <v>9</v>
      </c>
      <c r="E79" s="50" t="s">
        <v>17</v>
      </c>
      <c r="F79" s="16">
        <v>4</v>
      </c>
      <c r="G79" s="33">
        <v>0</v>
      </c>
      <c r="H79" s="51">
        <f t="shared" si="0"/>
        <v>0</v>
      </c>
      <c r="I79" s="40">
        <v>0</v>
      </c>
      <c r="J79" s="40">
        <v>0</v>
      </c>
      <c r="K79" s="40">
        <v>0</v>
      </c>
      <c r="L79" s="40">
        <v>0</v>
      </c>
      <c r="M79" s="40">
        <v>0</v>
      </c>
      <c r="N79" s="40">
        <v>0</v>
      </c>
      <c r="O79" s="40">
        <v>0</v>
      </c>
      <c r="P79" s="40">
        <v>0</v>
      </c>
      <c r="Q79" s="40"/>
    </row>
    <row r="80" spans="1:17" x14ac:dyDescent="0.2">
      <c r="A80" s="42">
        <v>43662</v>
      </c>
      <c r="B80" s="1" t="s">
        <v>127</v>
      </c>
      <c r="C80" s="33" t="s">
        <v>35</v>
      </c>
      <c r="D80" s="16">
        <v>9</v>
      </c>
      <c r="E80" s="50" t="s">
        <v>17</v>
      </c>
      <c r="F80" s="16">
        <v>4</v>
      </c>
      <c r="G80" s="33">
        <v>0</v>
      </c>
      <c r="H80" s="51">
        <f t="shared" si="0"/>
        <v>0</v>
      </c>
      <c r="I80" s="40">
        <v>0</v>
      </c>
      <c r="J80" s="40">
        <v>0</v>
      </c>
      <c r="K80" s="40">
        <v>0</v>
      </c>
      <c r="L80" s="40">
        <v>0</v>
      </c>
      <c r="M80" s="40">
        <v>0</v>
      </c>
      <c r="N80" s="40">
        <v>0</v>
      </c>
      <c r="O80" s="40">
        <v>0</v>
      </c>
      <c r="P80" s="40">
        <v>0</v>
      </c>
      <c r="Q80" s="40"/>
    </row>
    <row r="81" spans="1:17" x14ac:dyDescent="0.2">
      <c r="A81" s="42">
        <v>43669</v>
      </c>
      <c r="B81" s="1" t="s">
        <v>127</v>
      </c>
      <c r="C81" s="33" t="s">
        <v>35</v>
      </c>
      <c r="D81" s="16">
        <v>9</v>
      </c>
      <c r="E81" s="50" t="s">
        <v>17</v>
      </c>
      <c r="F81" s="16">
        <v>4</v>
      </c>
      <c r="G81" s="33">
        <v>0</v>
      </c>
      <c r="H81" s="51">
        <f t="shared" si="0"/>
        <v>0</v>
      </c>
      <c r="I81" s="40">
        <v>0</v>
      </c>
      <c r="J81" s="40">
        <v>0</v>
      </c>
      <c r="K81" s="40">
        <v>0</v>
      </c>
      <c r="L81" s="40">
        <v>0</v>
      </c>
      <c r="M81" s="40">
        <v>0</v>
      </c>
      <c r="N81" s="40">
        <v>0</v>
      </c>
      <c r="O81" s="40">
        <v>0</v>
      </c>
      <c r="P81" s="40">
        <v>0</v>
      </c>
      <c r="Q81" s="40"/>
    </row>
    <row r="82" spans="1:17" x14ac:dyDescent="0.2">
      <c r="A82" s="42">
        <v>43669</v>
      </c>
      <c r="B82" s="1" t="s">
        <v>127</v>
      </c>
      <c r="C82" s="33" t="s">
        <v>35</v>
      </c>
      <c r="D82" s="16">
        <v>9</v>
      </c>
      <c r="E82" s="50" t="s">
        <v>17</v>
      </c>
      <c r="F82" s="16">
        <v>4</v>
      </c>
      <c r="G82" s="33">
        <v>0</v>
      </c>
      <c r="H82" s="51">
        <f t="shared" si="0"/>
        <v>0</v>
      </c>
      <c r="I82" s="40">
        <v>0</v>
      </c>
      <c r="J82" s="40">
        <v>0</v>
      </c>
      <c r="K82" s="40">
        <v>0</v>
      </c>
      <c r="L82" s="40">
        <v>0</v>
      </c>
      <c r="M82" s="40">
        <v>0</v>
      </c>
      <c r="N82" s="40">
        <v>0</v>
      </c>
      <c r="O82" s="40">
        <v>0</v>
      </c>
      <c r="P82" s="40">
        <v>0</v>
      </c>
      <c r="Q82" s="40"/>
    </row>
    <row r="83" spans="1:17" x14ac:dyDescent="0.2">
      <c r="A83" s="42">
        <v>43678</v>
      </c>
      <c r="B83" s="1" t="s">
        <v>127</v>
      </c>
      <c r="C83" s="33" t="s">
        <v>35</v>
      </c>
      <c r="D83" s="16">
        <v>9</v>
      </c>
      <c r="E83" s="50" t="s">
        <v>17</v>
      </c>
      <c r="F83" s="16">
        <v>4</v>
      </c>
      <c r="G83" s="33">
        <v>0</v>
      </c>
      <c r="H83" s="51">
        <f t="shared" si="0"/>
        <v>0</v>
      </c>
      <c r="I83" s="40">
        <v>0</v>
      </c>
      <c r="J83" s="40">
        <v>0</v>
      </c>
      <c r="K83" s="40">
        <v>0</v>
      </c>
      <c r="L83" s="40">
        <v>0</v>
      </c>
      <c r="M83" s="40">
        <v>0</v>
      </c>
      <c r="N83" s="40">
        <v>0</v>
      </c>
      <c r="O83" s="40">
        <v>0</v>
      </c>
      <c r="P83" s="40">
        <v>0</v>
      </c>
      <c r="Q83" s="40"/>
    </row>
    <row r="84" spans="1:17" x14ac:dyDescent="0.2">
      <c r="A84" s="42">
        <v>43685</v>
      </c>
      <c r="B84" s="1" t="s">
        <v>127</v>
      </c>
      <c r="C84" s="33" t="s">
        <v>35</v>
      </c>
      <c r="D84" s="16">
        <v>9</v>
      </c>
      <c r="E84" s="50" t="s">
        <v>17</v>
      </c>
      <c r="F84" s="16">
        <v>4</v>
      </c>
      <c r="G84" s="33">
        <v>0</v>
      </c>
      <c r="H84" s="51">
        <f t="shared" si="0"/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  <c r="P84" s="40">
        <v>0</v>
      </c>
      <c r="Q84" s="40"/>
    </row>
    <row r="85" spans="1:17" x14ac:dyDescent="0.2">
      <c r="A85" s="42">
        <v>43696</v>
      </c>
      <c r="B85" s="1" t="s">
        <v>127</v>
      </c>
      <c r="C85" s="33" t="s">
        <v>35</v>
      </c>
      <c r="D85" s="16">
        <v>9</v>
      </c>
      <c r="E85" s="50" t="s">
        <v>17</v>
      </c>
      <c r="F85" s="16">
        <v>4</v>
      </c>
      <c r="G85" s="33">
        <v>0</v>
      </c>
      <c r="H85" s="51">
        <f t="shared" si="0"/>
        <v>0</v>
      </c>
      <c r="I85" s="40">
        <v>0</v>
      </c>
      <c r="J85" s="40">
        <v>0</v>
      </c>
      <c r="K85" s="40">
        <v>0</v>
      </c>
      <c r="L85" s="40">
        <v>0</v>
      </c>
      <c r="M85" s="40">
        <v>0</v>
      </c>
      <c r="N85" s="40">
        <v>0</v>
      </c>
      <c r="O85" s="40">
        <v>0</v>
      </c>
      <c r="P85" s="40">
        <v>0</v>
      </c>
      <c r="Q85" s="40"/>
    </row>
    <row r="86" spans="1:17" x14ac:dyDescent="0.2">
      <c r="A86" s="42">
        <v>43707</v>
      </c>
      <c r="B86" s="1">
        <v>1</v>
      </c>
      <c r="C86" s="33" t="s">
        <v>35</v>
      </c>
      <c r="D86" s="16">
        <v>9</v>
      </c>
      <c r="E86" s="50" t="s">
        <v>17</v>
      </c>
      <c r="F86" s="16">
        <v>4</v>
      </c>
      <c r="G86" s="33">
        <v>0</v>
      </c>
      <c r="H86" s="51">
        <f t="shared" si="0"/>
        <v>0</v>
      </c>
      <c r="I86" s="40">
        <v>1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0">
        <v>0</v>
      </c>
      <c r="Q86" s="40"/>
    </row>
    <row r="87" spans="1:17" x14ac:dyDescent="0.2">
      <c r="A87" s="42">
        <v>43714</v>
      </c>
      <c r="B87" s="1">
        <v>2</v>
      </c>
      <c r="C87" s="33" t="s">
        <v>35</v>
      </c>
      <c r="D87" s="16">
        <v>9</v>
      </c>
      <c r="E87" s="50" t="s">
        <v>17</v>
      </c>
      <c r="F87" s="16">
        <v>4</v>
      </c>
      <c r="G87" s="33">
        <v>0</v>
      </c>
      <c r="H87" s="51">
        <f t="shared" si="0"/>
        <v>0</v>
      </c>
      <c r="I87" s="40">
        <v>0</v>
      </c>
      <c r="J87" s="40">
        <v>0</v>
      </c>
      <c r="K87" s="40">
        <v>0</v>
      </c>
      <c r="L87" s="40">
        <v>0</v>
      </c>
      <c r="M87" s="40">
        <v>0</v>
      </c>
      <c r="N87" s="40">
        <v>0</v>
      </c>
      <c r="O87" s="40">
        <v>0</v>
      </c>
      <c r="P87" s="40">
        <v>0</v>
      </c>
      <c r="Q87" s="40"/>
    </row>
    <row r="88" spans="1:17" x14ac:dyDescent="0.2">
      <c r="A88" s="42">
        <v>43719</v>
      </c>
      <c r="B88" s="1">
        <v>3</v>
      </c>
      <c r="C88" s="33" t="s">
        <v>35</v>
      </c>
      <c r="D88" s="16">
        <v>9</v>
      </c>
      <c r="E88" s="50" t="s">
        <v>17</v>
      </c>
      <c r="F88" s="16">
        <v>4</v>
      </c>
      <c r="G88" s="33">
        <v>1</v>
      </c>
      <c r="H88" s="51">
        <f t="shared" si="0"/>
        <v>0.25</v>
      </c>
      <c r="I88" s="40">
        <v>0</v>
      </c>
      <c r="J88" s="40">
        <v>0</v>
      </c>
      <c r="K88" s="40">
        <v>0</v>
      </c>
      <c r="L88" s="40">
        <v>0</v>
      </c>
      <c r="M88" s="40">
        <v>0</v>
      </c>
      <c r="N88" s="40">
        <v>0</v>
      </c>
      <c r="O88" s="40">
        <v>0</v>
      </c>
      <c r="P88" s="40">
        <v>0</v>
      </c>
      <c r="Q88" s="40"/>
    </row>
    <row r="89" spans="1:17" x14ac:dyDescent="0.2">
      <c r="A89" s="42">
        <v>43728</v>
      </c>
      <c r="B89" s="1">
        <v>4</v>
      </c>
      <c r="C89" s="33" t="s">
        <v>35</v>
      </c>
      <c r="D89" s="16">
        <v>9</v>
      </c>
      <c r="E89" s="50" t="s">
        <v>17</v>
      </c>
      <c r="F89" s="16">
        <v>4</v>
      </c>
      <c r="G89" s="33">
        <v>0</v>
      </c>
      <c r="H89" s="51">
        <f t="shared" si="0"/>
        <v>0</v>
      </c>
      <c r="I89" s="40">
        <v>0</v>
      </c>
      <c r="J89" s="40">
        <v>0</v>
      </c>
      <c r="K89" s="40">
        <v>0</v>
      </c>
      <c r="L89" s="40">
        <v>0</v>
      </c>
      <c r="M89" s="40">
        <v>0</v>
      </c>
      <c r="N89" s="40">
        <v>0</v>
      </c>
      <c r="O89" s="40">
        <v>0</v>
      </c>
      <c r="P89" s="40">
        <v>0</v>
      </c>
      <c r="Q89" s="40"/>
    </row>
    <row r="90" spans="1:17" x14ac:dyDescent="0.2">
      <c r="A90" s="42">
        <v>43662</v>
      </c>
      <c r="B90" s="1" t="s">
        <v>127</v>
      </c>
      <c r="C90" s="33" t="s">
        <v>36</v>
      </c>
      <c r="D90" s="16">
        <v>10</v>
      </c>
      <c r="E90" s="50" t="s">
        <v>18</v>
      </c>
      <c r="F90" s="46">
        <v>5</v>
      </c>
      <c r="G90" s="33">
        <v>0</v>
      </c>
      <c r="H90" s="51">
        <f t="shared" si="0"/>
        <v>0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  <c r="N90" s="40">
        <v>0</v>
      </c>
      <c r="O90" s="40">
        <v>0</v>
      </c>
      <c r="P90" s="40">
        <v>0</v>
      </c>
    </row>
    <row r="91" spans="1:17" x14ac:dyDescent="0.2">
      <c r="A91" s="42">
        <v>43685</v>
      </c>
      <c r="B91" s="1" t="s">
        <v>127</v>
      </c>
      <c r="C91" s="33" t="s">
        <v>36</v>
      </c>
      <c r="D91" s="16">
        <v>10</v>
      </c>
      <c r="E91" s="50" t="s">
        <v>18</v>
      </c>
      <c r="F91" s="46">
        <v>5</v>
      </c>
      <c r="G91" s="33">
        <v>0</v>
      </c>
      <c r="H91" s="51">
        <f t="shared" si="0"/>
        <v>0</v>
      </c>
      <c r="I91" s="40">
        <v>0</v>
      </c>
      <c r="J91" s="40">
        <v>0</v>
      </c>
      <c r="K91" s="40">
        <v>0</v>
      </c>
      <c r="L91" s="40">
        <v>0</v>
      </c>
      <c r="M91" s="40">
        <v>0</v>
      </c>
      <c r="N91" s="40">
        <v>0</v>
      </c>
      <c r="O91" s="40">
        <v>0</v>
      </c>
      <c r="P91" s="40">
        <v>0</v>
      </c>
    </row>
    <row r="92" spans="1:17" x14ac:dyDescent="0.2">
      <c r="A92" s="42">
        <v>43672</v>
      </c>
      <c r="B92" s="1" t="s">
        <v>127</v>
      </c>
      <c r="C92" s="33" t="s">
        <v>36</v>
      </c>
      <c r="D92" s="16">
        <v>10</v>
      </c>
      <c r="E92" s="50" t="s">
        <v>18</v>
      </c>
      <c r="F92" s="46">
        <v>5</v>
      </c>
      <c r="G92" s="33">
        <v>0</v>
      </c>
      <c r="H92" s="51">
        <f t="shared" si="0"/>
        <v>0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  <c r="N92" s="40">
        <v>0</v>
      </c>
      <c r="O92" s="40">
        <v>0</v>
      </c>
      <c r="P92" s="40">
        <v>0</v>
      </c>
    </row>
    <row r="93" spans="1:17" x14ac:dyDescent="0.2">
      <c r="A93" s="42">
        <v>43679</v>
      </c>
      <c r="B93" s="1" t="s">
        <v>127</v>
      </c>
      <c r="C93" s="33" t="s">
        <v>36</v>
      </c>
      <c r="D93" s="16">
        <v>10</v>
      </c>
      <c r="E93" s="50" t="s">
        <v>18</v>
      </c>
      <c r="F93" s="46">
        <v>5</v>
      </c>
      <c r="G93" s="33">
        <v>0</v>
      </c>
      <c r="H93" s="51">
        <f t="shared" si="0"/>
        <v>0</v>
      </c>
      <c r="I93" s="40">
        <v>0</v>
      </c>
      <c r="J93" s="40">
        <v>0</v>
      </c>
      <c r="K93" s="40">
        <v>0</v>
      </c>
      <c r="L93" s="40">
        <v>0</v>
      </c>
      <c r="M93" s="40">
        <v>0</v>
      </c>
      <c r="N93" s="40">
        <v>0</v>
      </c>
      <c r="O93" s="40">
        <v>0</v>
      </c>
      <c r="P93" s="40">
        <v>0</v>
      </c>
    </row>
    <row r="94" spans="1:17" x14ac:dyDescent="0.2">
      <c r="A94" s="42">
        <v>43696</v>
      </c>
      <c r="B94" s="1" t="s">
        <v>127</v>
      </c>
      <c r="C94" s="33" t="s">
        <v>36</v>
      </c>
      <c r="D94" s="16">
        <v>10</v>
      </c>
      <c r="E94" s="50" t="s">
        <v>18</v>
      </c>
      <c r="F94" s="46">
        <v>5</v>
      </c>
      <c r="G94" s="33">
        <v>0</v>
      </c>
      <c r="H94" s="51">
        <f t="shared" si="0"/>
        <v>0</v>
      </c>
      <c r="I94" s="40">
        <v>0</v>
      </c>
      <c r="J94" s="40">
        <v>0</v>
      </c>
      <c r="K94" s="40">
        <v>0</v>
      </c>
      <c r="L94" s="40">
        <v>0</v>
      </c>
      <c r="M94" s="40">
        <v>0</v>
      </c>
      <c r="N94" s="40">
        <v>0</v>
      </c>
      <c r="O94" s="40">
        <v>0</v>
      </c>
      <c r="P94" s="40">
        <v>0</v>
      </c>
    </row>
    <row r="95" spans="1:17" x14ac:dyDescent="0.2">
      <c r="A95" s="42">
        <v>43705</v>
      </c>
      <c r="B95" s="1">
        <v>1</v>
      </c>
      <c r="C95" s="33" t="s">
        <v>36</v>
      </c>
      <c r="D95" s="16">
        <v>10</v>
      </c>
      <c r="E95" s="50" t="s">
        <v>18</v>
      </c>
      <c r="F95" s="46">
        <v>5</v>
      </c>
      <c r="G95" s="33">
        <v>0</v>
      </c>
      <c r="H95" s="51">
        <f t="shared" si="0"/>
        <v>0</v>
      </c>
      <c r="I95" s="40">
        <v>0</v>
      </c>
      <c r="J95" s="40">
        <v>0</v>
      </c>
      <c r="K95" s="40">
        <v>0</v>
      </c>
      <c r="L95" s="40">
        <v>0</v>
      </c>
      <c r="M95" s="40">
        <v>0</v>
      </c>
      <c r="N95" s="40">
        <v>0</v>
      </c>
      <c r="O95" s="40">
        <v>0</v>
      </c>
      <c r="P95" s="40">
        <v>0</v>
      </c>
    </row>
    <row r="96" spans="1:17" x14ac:dyDescent="0.2">
      <c r="A96" s="42">
        <v>43713</v>
      </c>
      <c r="B96" s="1">
        <v>2</v>
      </c>
      <c r="C96" s="33" t="s">
        <v>36</v>
      </c>
      <c r="D96" s="16">
        <v>10</v>
      </c>
      <c r="E96" s="50" t="s">
        <v>18</v>
      </c>
      <c r="F96" s="46">
        <v>5</v>
      </c>
      <c r="G96" s="33">
        <v>0</v>
      </c>
      <c r="H96" s="51">
        <f>G96/F96</f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0</v>
      </c>
      <c r="P96" s="40">
        <v>0</v>
      </c>
    </row>
    <row r="97" spans="1:17" x14ac:dyDescent="0.2">
      <c r="A97" s="42">
        <v>43719</v>
      </c>
      <c r="B97" s="1">
        <v>3</v>
      </c>
      <c r="C97" s="33" t="s">
        <v>36</v>
      </c>
      <c r="D97" s="16">
        <v>10</v>
      </c>
      <c r="E97" s="50" t="s">
        <v>18</v>
      </c>
      <c r="F97" s="46">
        <v>5</v>
      </c>
      <c r="G97" s="33">
        <v>0</v>
      </c>
      <c r="H97" s="51">
        <f>G97/F97</f>
        <v>0</v>
      </c>
      <c r="I97" s="40">
        <v>0</v>
      </c>
      <c r="J97" s="40">
        <v>0</v>
      </c>
      <c r="K97" s="40">
        <v>0</v>
      </c>
      <c r="L97" s="40">
        <v>0</v>
      </c>
      <c r="M97" s="40">
        <v>0</v>
      </c>
      <c r="N97" s="40">
        <v>0</v>
      </c>
      <c r="O97" s="40">
        <v>0</v>
      </c>
      <c r="P97" s="40">
        <v>0</v>
      </c>
    </row>
    <row r="98" spans="1:17" x14ac:dyDescent="0.2">
      <c r="A98" s="42">
        <v>43727</v>
      </c>
      <c r="B98" s="1">
        <v>4</v>
      </c>
      <c r="C98" s="33" t="s">
        <v>36</v>
      </c>
      <c r="D98" s="16">
        <v>10</v>
      </c>
      <c r="E98" s="50" t="s">
        <v>18</v>
      </c>
      <c r="F98" s="46">
        <v>5</v>
      </c>
      <c r="G98" s="33">
        <v>0</v>
      </c>
      <c r="H98" s="51">
        <f>G98/F98</f>
        <v>0</v>
      </c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  <c r="O98" s="40">
        <v>0</v>
      </c>
      <c r="P98" s="40">
        <v>0</v>
      </c>
    </row>
    <row r="99" spans="1:17" x14ac:dyDescent="0.2">
      <c r="A99" s="42">
        <v>43734</v>
      </c>
      <c r="B99" s="1">
        <v>5</v>
      </c>
      <c r="C99" s="33" t="s">
        <v>36</v>
      </c>
      <c r="D99" s="16">
        <v>10</v>
      </c>
      <c r="E99" s="50" t="s">
        <v>18</v>
      </c>
      <c r="F99" s="46">
        <v>5</v>
      </c>
      <c r="G99" s="33">
        <v>0</v>
      </c>
      <c r="H99" s="51">
        <f>G99/F99</f>
        <v>0</v>
      </c>
      <c r="I99" s="40">
        <v>0</v>
      </c>
      <c r="J99" s="40">
        <v>0</v>
      </c>
      <c r="K99" s="40">
        <v>0</v>
      </c>
      <c r="L99" s="40">
        <v>0</v>
      </c>
      <c r="M99" s="40">
        <v>0</v>
      </c>
      <c r="N99" s="40">
        <v>0</v>
      </c>
      <c r="O99" s="40">
        <v>0</v>
      </c>
      <c r="P99" s="40">
        <v>0</v>
      </c>
    </row>
    <row r="100" spans="1:17" x14ac:dyDescent="0.2">
      <c r="A100" s="42">
        <v>43698</v>
      </c>
      <c r="B100" s="1" t="s">
        <v>127</v>
      </c>
      <c r="C100" s="33" t="s">
        <v>37</v>
      </c>
      <c r="D100" s="16">
        <v>11</v>
      </c>
      <c r="E100" s="50" t="s">
        <v>19</v>
      </c>
      <c r="F100" s="16">
        <v>4</v>
      </c>
      <c r="G100" s="33">
        <v>0</v>
      </c>
      <c r="H100" s="51">
        <f t="shared" si="0"/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</row>
    <row r="101" spans="1:17" x14ac:dyDescent="0.2">
      <c r="A101" s="42">
        <v>43706</v>
      </c>
      <c r="B101" s="1">
        <v>1</v>
      </c>
      <c r="C101" s="33" t="s">
        <v>37</v>
      </c>
      <c r="D101" s="16">
        <v>11</v>
      </c>
      <c r="E101" s="50" t="s">
        <v>19</v>
      </c>
      <c r="F101" s="16">
        <v>4</v>
      </c>
      <c r="G101" s="33">
        <v>0</v>
      </c>
      <c r="H101" s="51">
        <f t="shared" si="0"/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0</v>
      </c>
      <c r="N101" s="40">
        <v>0</v>
      </c>
      <c r="O101" s="40">
        <v>0</v>
      </c>
      <c r="P101" s="40">
        <v>0</v>
      </c>
    </row>
    <row r="102" spans="1:17" x14ac:dyDescent="0.2">
      <c r="A102" s="42">
        <v>43721</v>
      </c>
      <c r="B102" s="1">
        <v>2</v>
      </c>
      <c r="C102" s="33" t="s">
        <v>37</v>
      </c>
      <c r="D102" s="16">
        <v>11</v>
      </c>
      <c r="E102" s="50" t="s">
        <v>19</v>
      </c>
      <c r="F102" s="16">
        <v>4</v>
      </c>
      <c r="G102" s="33">
        <v>0</v>
      </c>
      <c r="H102" s="51">
        <f>G102/F102</f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40">
        <v>0</v>
      </c>
      <c r="O102" s="40">
        <v>0</v>
      </c>
      <c r="P102" s="40">
        <v>0</v>
      </c>
    </row>
    <row r="103" spans="1:17" x14ac:dyDescent="0.2">
      <c r="A103" s="42">
        <v>43728</v>
      </c>
      <c r="B103" s="1">
        <v>3</v>
      </c>
      <c r="C103" s="33" t="s">
        <v>37</v>
      </c>
      <c r="D103" s="16">
        <v>11</v>
      </c>
      <c r="E103" s="50" t="s">
        <v>19</v>
      </c>
      <c r="F103" s="16">
        <v>4</v>
      </c>
      <c r="G103" s="33">
        <v>0</v>
      </c>
      <c r="H103" s="51">
        <f>G103/F103</f>
        <v>0</v>
      </c>
      <c r="I103" s="40">
        <v>0</v>
      </c>
      <c r="J103" s="40">
        <v>0</v>
      </c>
      <c r="K103" s="40">
        <v>0</v>
      </c>
      <c r="L103" s="40">
        <v>0</v>
      </c>
      <c r="M103" s="40">
        <v>0</v>
      </c>
      <c r="N103" s="40">
        <v>0</v>
      </c>
      <c r="O103" s="40">
        <v>0</v>
      </c>
      <c r="P103" s="40">
        <v>0</v>
      </c>
    </row>
    <row r="104" spans="1:17" x14ac:dyDescent="0.2">
      <c r="A104" s="42">
        <v>43735</v>
      </c>
      <c r="B104" s="1">
        <v>4</v>
      </c>
      <c r="C104" s="33" t="s">
        <v>37</v>
      </c>
      <c r="D104" s="16">
        <v>11</v>
      </c>
      <c r="E104" s="50" t="s">
        <v>19</v>
      </c>
      <c r="F104" s="16">
        <v>4</v>
      </c>
      <c r="G104" s="33">
        <v>0</v>
      </c>
      <c r="H104" s="51">
        <f>G104/F104</f>
        <v>0</v>
      </c>
      <c r="I104" s="40">
        <v>0</v>
      </c>
      <c r="J104" s="40">
        <v>0</v>
      </c>
      <c r="K104" s="40">
        <v>0</v>
      </c>
      <c r="L104" s="40">
        <v>0</v>
      </c>
      <c r="M104" s="40">
        <v>0</v>
      </c>
      <c r="N104" s="40">
        <v>0</v>
      </c>
      <c r="O104" s="40">
        <v>0</v>
      </c>
      <c r="P104" s="40">
        <v>0</v>
      </c>
    </row>
    <row r="105" spans="1:17" x14ac:dyDescent="0.2">
      <c r="A105" s="42">
        <v>43733</v>
      </c>
      <c r="B105" s="1">
        <v>1</v>
      </c>
      <c r="C105" s="33" t="s">
        <v>38</v>
      </c>
      <c r="D105" s="16">
        <v>12</v>
      </c>
      <c r="E105" s="50" t="s">
        <v>20</v>
      </c>
      <c r="F105" s="46">
        <v>3</v>
      </c>
      <c r="G105" s="33">
        <v>0</v>
      </c>
      <c r="H105" s="51">
        <f t="shared" si="0"/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0</v>
      </c>
      <c r="N105" s="40">
        <v>0</v>
      </c>
      <c r="O105" s="40">
        <v>0</v>
      </c>
      <c r="P105" s="40">
        <v>0</v>
      </c>
    </row>
    <row r="106" spans="1:17" x14ac:dyDescent="0.2">
      <c r="A106" s="42">
        <v>43733</v>
      </c>
      <c r="B106" s="1">
        <v>1</v>
      </c>
      <c r="C106" s="33" t="s">
        <v>124</v>
      </c>
      <c r="D106" s="16">
        <v>13</v>
      </c>
      <c r="E106" s="50" t="s">
        <v>21</v>
      </c>
      <c r="F106" s="16">
        <v>3</v>
      </c>
      <c r="G106" s="33">
        <v>0</v>
      </c>
      <c r="H106" s="51">
        <f t="shared" si="0"/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0">
        <v>0</v>
      </c>
      <c r="O106" s="40">
        <v>0</v>
      </c>
      <c r="P106" s="40">
        <v>0</v>
      </c>
    </row>
    <row r="107" spans="1:17" x14ac:dyDescent="0.2">
      <c r="A107" s="42">
        <v>43733</v>
      </c>
      <c r="B107" s="1">
        <v>1</v>
      </c>
      <c r="C107" s="33" t="s">
        <v>123</v>
      </c>
      <c r="D107" s="16">
        <v>14</v>
      </c>
      <c r="E107" s="50" t="s">
        <v>22</v>
      </c>
      <c r="F107" s="16">
        <v>3</v>
      </c>
      <c r="G107" s="33">
        <v>0</v>
      </c>
      <c r="H107" s="51">
        <f t="shared" si="0"/>
        <v>0</v>
      </c>
      <c r="I107" s="40">
        <v>0</v>
      </c>
      <c r="J107" s="40">
        <v>0</v>
      </c>
      <c r="K107" s="40">
        <v>0</v>
      </c>
      <c r="L107" s="40">
        <v>0</v>
      </c>
      <c r="M107" s="40">
        <v>0</v>
      </c>
      <c r="N107" s="40">
        <v>0</v>
      </c>
      <c r="O107" s="40">
        <v>0</v>
      </c>
      <c r="P107" s="40">
        <v>0</v>
      </c>
    </row>
    <row r="108" spans="1:17" x14ac:dyDescent="0.2">
      <c r="A108" s="42">
        <v>43735</v>
      </c>
      <c r="B108" s="40">
        <v>1</v>
      </c>
      <c r="C108" s="33" t="s">
        <v>40</v>
      </c>
      <c r="D108" s="16">
        <v>15</v>
      </c>
      <c r="E108" s="50" t="s">
        <v>125</v>
      </c>
      <c r="F108" s="16">
        <v>6</v>
      </c>
      <c r="G108" s="33">
        <v>0</v>
      </c>
      <c r="H108" s="51">
        <f t="shared" si="0"/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0</v>
      </c>
      <c r="O108" s="40">
        <v>0</v>
      </c>
      <c r="P108" s="40">
        <v>0</v>
      </c>
    </row>
    <row r="109" spans="1:17" x14ac:dyDescent="0.2">
      <c r="A109" s="42">
        <v>43735</v>
      </c>
      <c r="B109" s="40">
        <v>1</v>
      </c>
      <c r="C109" s="33" t="s">
        <v>129</v>
      </c>
      <c r="D109" s="33">
        <v>16</v>
      </c>
      <c r="E109" s="50" t="s">
        <v>128</v>
      </c>
      <c r="F109" s="1">
        <v>6</v>
      </c>
      <c r="G109" s="33">
        <v>0</v>
      </c>
      <c r="H109" s="51">
        <f t="shared" si="0"/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0</v>
      </c>
      <c r="N109" s="40">
        <v>0</v>
      </c>
      <c r="O109" s="40">
        <v>0</v>
      </c>
      <c r="P109" s="40">
        <v>0</v>
      </c>
    </row>
    <row r="110" spans="1:17" x14ac:dyDescent="0.2">
      <c r="A110" s="42">
        <v>43742</v>
      </c>
      <c r="B110" s="40">
        <v>1</v>
      </c>
      <c r="C110" s="16" t="s">
        <v>131</v>
      </c>
      <c r="D110" s="16">
        <v>17</v>
      </c>
      <c r="E110" s="50" t="s">
        <v>130</v>
      </c>
      <c r="F110" s="1">
        <v>2</v>
      </c>
      <c r="G110" s="33">
        <v>0</v>
      </c>
      <c r="H110" s="51">
        <f t="shared" si="0"/>
        <v>0</v>
      </c>
      <c r="I110" s="40">
        <v>0</v>
      </c>
      <c r="J110" s="40">
        <v>0</v>
      </c>
      <c r="K110" s="40">
        <v>0</v>
      </c>
      <c r="L110" s="40">
        <v>0</v>
      </c>
      <c r="M110" s="40">
        <v>0</v>
      </c>
      <c r="N110" s="40">
        <v>0</v>
      </c>
      <c r="O110" s="40">
        <v>0</v>
      </c>
      <c r="P110" s="40">
        <v>0</v>
      </c>
    </row>
    <row r="111" spans="1:17" x14ac:dyDescent="0.2">
      <c r="A111" s="42">
        <v>43742</v>
      </c>
      <c r="B111" s="40">
        <v>1</v>
      </c>
      <c r="C111" s="16" t="s">
        <v>133</v>
      </c>
      <c r="D111" s="16">
        <v>18</v>
      </c>
      <c r="E111" s="50" t="s">
        <v>132</v>
      </c>
      <c r="F111" s="1">
        <v>3</v>
      </c>
      <c r="G111" s="33">
        <v>0</v>
      </c>
      <c r="H111" s="51">
        <f t="shared" si="0"/>
        <v>0</v>
      </c>
      <c r="I111" s="40">
        <v>0</v>
      </c>
      <c r="J111" s="40">
        <v>0</v>
      </c>
      <c r="K111" s="40">
        <v>0</v>
      </c>
      <c r="L111" s="40">
        <v>0</v>
      </c>
      <c r="M111" s="40">
        <v>0</v>
      </c>
      <c r="N111" s="40">
        <v>0</v>
      </c>
      <c r="O111" s="40">
        <v>0</v>
      </c>
      <c r="P111" s="40">
        <v>0</v>
      </c>
    </row>
    <row r="112" spans="1:17" x14ac:dyDescent="0.2">
      <c r="A112" s="42">
        <v>43742</v>
      </c>
      <c r="B112" s="40">
        <v>1</v>
      </c>
      <c r="C112" s="16" t="s">
        <v>143</v>
      </c>
      <c r="D112" s="16">
        <v>19</v>
      </c>
      <c r="E112" s="50" t="s">
        <v>141</v>
      </c>
      <c r="F112" s="1">
        <v>4</v>
      </c>
      <c r="G112" s="33">
        <v>1</v>
      </c>
      <c r="H112" s="51">
        <f t="shared" si="0"/>
        <v>0.25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  <c r="P112" s="40">
        <v>0</v>
      </c>
      <c r="Q112" s="40"/>
    </row>
    <row r="113" spans="1:16" x14ac:dyDescent="0.2">
      <c r="A113" s="42">
        <v>43741</v>
      </c>
      <c r="B113" s="40">
        <v>1</v>
      </c>
      <c r="C113" s="16" t="s">
        <v>144</v>
      </c>
      <c r="D113" s="16">
        <v>20</v>
      </c>
      <c r="E113" s="50" t="s">
        <v>142</v>
      </c>
      <c r="F113" s="1">
        <v>4</v>
      </c>
      <c r="G113" s="33">
        <v>0</v>
      </c>
      <c r="H113" s="51">
        <f t="shared" si="0"/>
        <v>0</v>
      </c>
      <c r="I113" s="40">
        <v>0</v>
      </c>
      <c r="J113" s="40">
        <v>0</v>
      </c>
      <c r="K113" s="40">
        <v>0</v>
      </c>
      <c r="L113" s="40">
        <v>0</v>
      </c>
      <c r="M113" s="40">
        <v>0</v>
      </c>
      <c r="N113" s="40">
        <v>0</v>
      </c>
      <c r="O113" s="40">
        <v>0</v>
      </c>
      <c r="P113" s="40">
        <v>0</v>
      </c>
    </row>
    <row r="114" spans="1:16" x14ac:dyDescent="0.2">
      <c r="A114" s="42">
        <v>43747</v>
      </c>
      <c r="B114" s="40">
        <v>1</v>
      </c>
      <c r="C114" s="16" t="s">
        <v>136</v>
      </c>
      <c r="D114" s="16">
        <v>21</v>
      </c>
      <c r="E114" s="50" t="s">
        <v>134</v>
      </c>
      <c r="F114" s="1">
        <v>3</v>
      </c>
      <c r="G114" s="33">
        <v>0</v>
      </c>
      <c r="H114" s="51">
        <f t="shared" si="0"/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0</v>
      </c>
      <c r="N114" s="40">
        <v>0</v>
      </c>
      <c r="O114" s="40">
        <v>0</v>
      </c>
      <c r="P114" s="40">
        <v>0</v>
      </c>
    </row>
    <row r="115" spans="1:16" ht="13.5" thickBot="1" x14ac:dyDescent="0.25">
      <c r="A115" s="42">
        <v>43747</v>
      </c>
      <c r="B115" s="40">
        <v>1</v>
      </c>
      <c r="C115" s="16" t="s">
        <v>137</v>
      </c>
      <c r="D115" s="16">
        <v>22</v>
      </c>
      <c r="E115" s="50" t="s">
        <v>135</v>
      </c>
      <c r="F115" s="4">
        <v>4</v>
      </c>
      <c r="G115" s="59">
        <v>0</v>
      </c>
      <c r="H115" s="60">
        <f t="shared" si="0"/>
        <v>0</v>
      </c>
      <c r="I115" s="61">
        <v>0</v>
      </c>
      <c r="J115" s="61">
        <v>0</v>
      </c>
      <c r="K115" s="61">
        <v>0</v>
      </c>
      <c r="L115" s="61">
        <v>0</v>
      </c>
      <c r="M115" s="61">
        <v>0</v>
      </c>
      <c r="N115" s="61">
        <v>0</v>
      </c>
      <c r="O115" s="61">
        <v>0</v>
      </c>
      <c r="P115" s="61">
        <v>0</v>
      </c>
    </row>
    <row r="116" spans="1:16" x14ac:dyDescent="0.2">
      <c r="A116" s="42"/>
      <c r="F116" s="2">
        <f>SUM(F4:F115)</f>
        <v>402</v>
      </c>
      <c r="G116" s="2">
        <f>SUM(G4:G115)</f>
        <v>11</v>
      </c>
      <c r="H116" s="63">
        <f>G116/F116</f>
        <v>2.736318407960199E-2</v>
      </c>
      <c r="I116" s="2">
        <f t="shared" ref="I116:P116" si="1">SUM(I4:I115)</f>
        <v>84</v>
      </c>
      <c r="J116" s="2">
        <f t="shared" si="1"/>
        <v>2</v>
      </c>
      <c r="K116" s="2">
        <f t="shared" si="1"/>
        <v>1</v>
      </c>
      <c r="L116" s="2">
        <f t="shared" si="1"/>
        <v>1</v>
      </c>
      <c r="M116" s="2">
        <f t="shared" si="1"/>
        <v>1</v>
      </c>
      <c r="N116" s="2">
        <f t="shared" si="1"/>
        <v>0</v>
      </c>
      <c r="O116" s="2">
        <f t="shared" si="1"/>
        <v>1</v>
      </c>
      <c r="P116" s="2">
        <f t="shared" si="1"/>
        <v>0</v>
      </c>
    </row>
    <row r="117" spans="1:16" x14ac:dyDescent="0.2">
      <c r="A117" s="42"/>
      <c r="H117" s="1"/>
    </row>
    <row r="118" spans="1:16" x14ac:dyDescent="0.2">
      <c r="A118" s="42"/>
      <c r="H118" s="1"/>
    </row>
    <row r="119" spans="1:16" x14ac:dyDescent="0.2">
      <c r="A119" s="42"/>
      <c r="H119" s="1"/>
    </row>
    <row r="120" spans="1:16" x14ac:dyDescent="0.2">
      <c r="A120" s="42"/>
      <c r="H120" s="1"/>
    </row>
    <row r="121" spans="1:16" x14ac:dyDescent="0.2">
      <c r="A121" s="42"/>
      <c r="H121" s="1"/>
    </row>
    <row r="122" spans="1:16" x14ac:dyDescent="0.2">
      <c r="A122" s="42"/>
      <c r="H122" s="1"/>
    </row>
    <row r="123" spans="1:16" x14ac:dyDescent="0.2">
      <c r="A123" s="42"/>
      <c r="H123" s="1"/>
    </row>
    <row r="124" spans="1:16" x14ac:dyDescent="0.2">
      <c r="A124" s="42"/>
      <c r="H124" s="1"/>
    </row>
    <row r="125" spans="1:16" x14ac:dyDescent="0.2">
      <c r="A125" s="42"/>
      <c r="H125" s="1"/>
    </row>
    <row r="126" spans="1:16" x14ac:dyDescent="0.2">
      <c r="A126" s="42"/>
      <c r="H126" s="1"/>
    </row>
    <row r="127" spans="1:16" x14ac:dyDescent="0.2">
      <c r="A127" s="42"/>
      <c r="H127" s="1"/>
    </row>
    <row r="128" spans="1:16" x14ac:dyDescent="0.2">
      <c r="A128" s="42"/>
      <c r="H128" s="1"/>
    </row>
    <row r="129" spans="1:8" x14ac:dyDescent="0.2">
      <c r="A129" s="42"/>
      <c r="H129" s="1"/>
    </row>
    <row r="130" spans="1:8" x14ac:dyDescent="0.2">
      <c r="A130" s="42"/>
      <c r="H130" s="1"/>
    </row>
    <row r="131" spans="1:8" x14ac:dyDescent="0.2">
      <c r="A131" s="42"/>
      <c r="H131" s="1"/>
    </row>
    <row r="132" spans="1:8" x14ac:dyDescent="0.2">
      <c r="A132" s="42"/>
      <c r="H132" s="1"/>
    </row>
    <row r="133" spans="1:8" x14ac:dyDescent="0.2">
      <c r="A133" s="42"/>
      <c r="H133" s="1"/>
    </row>
    <row r="134" spans="1:8" x14ac:dyDescent="0.2">
      <c r="A134" s="42"/>
      <c r="H134" s="1"/>
    </row>
    <row r="135" spans="1:8" x14ac:dyDescent="0.2">
      <c r="A135" s="42"/>
      <c r="H135" s="1"/>
    </row>
    <row r="136" spans="1:8" x14ac:dyDescent="0.2">
      <c r="A136" s="42"/>
      <c r="H136" s="1"/>
    </row>
    <row r="137" spans="1:8" x14ac:dyDescent="0.2">
      <c r="A137" s="42"/>
      <c r="H137" s="1"/>
    </row>
    <row r="138" spans="1:8" x14ac:dyDescent="0.2">
      <c r="A138" s="42"/>
      <c r="H138" s="1"/>
    </row>
    <row r="139" spans="1:8" x14ac:dyDescent="0.2">
      <c r="A139" s="42"/>
      <c r="H139" s="1"/>
    </row>
    <row r="140" spans="1:8" x14ac:dyDescent="0.2">
      <c r="A140" s="42"/>
      <c r="H140" s="1"/>
    </row>
    <row r="141" spans="1:8" x14ac:dyDescent="0.2">
      <c r="A141" s="42"/>
      <c r="H141" s="1"/>
    </row>
    <row r="142" spans="1:8" x14ac:dyDescent="0.2">
      <c r="A142" s="42"/>
      <c r="H142" s="1"/>
    </row>
    <row r="143" spans="1:8" x14ac:dyDescent="0.2">
      <c r="A143" s="42"/>
      <c r="H143" s="1"/>
    </row>
    <row r="144" spans="1:8" x14ac:dyDescent="0.2">
      <c r="A144" s="42"/>
      <c r="H144" s="1"/>
    </row>
    <row r="145" spans="1:8" x14ac:dyDescent="0.2">
      <c r="A145" s="42"/>
      <c r="H145" s="1"/>
    </row>
    <row r="146" spans="1:8" x14ac:dyDescent="0.2">
      <c r="A146" s="42"/>
      <c r="H146" s="1"/>
    </row>
    <row r="147" spans="1:8" x14ac:dyDescent="0.2">
      <c r="A147" s="42"/>
      <c r="H147" s="1"/>
    </row>
    <row r="148" spans="1:8" x14ac:dyDescent="0.2">
      <c r="A148" s="42"/>
      <c r="H148" s="1"/>
    </row>
    <row r="149" spans="1:8" x14ac:dyDescent="0.2">
      <c r="A149" s="42"/>
      <c r="H149" s="1"/>
    </row>
    <row r="150" spans="1:8" x14ac:dyDescent="0.2">
      <c r="A150" s="42"/>
      <c r="H150" s="1"/>
    </row>
    <row r="151" spans="1:8" x14ac:dyDescent="0.2">
      <c r="A151" s="42"/>
      <c r="H151" s="1"/>
    </row>
    <row r="152" spans="1:8" x14ac:dyDescent="0.2">
      <c r="A152" s="42"/>
      <c r="H152" s="1"/>
    </row>
    <row r="153" spans="1:8" x14ac:dyDescent="0.2">
      <c r="A153" s="42"/>
      <c r="H153" s="1"/>
    </row>
    <row r="154" spans="1:8" x14ac:dyDescent="0.2">
      <c r="A154" s="42"/>
      <c r="H154" s="1"/>
    </row>
    <row r="155" spans="1:8" x14ac:dyDescent="0.2">
      <c r="A155" s="42"/>
      <c r="H155" s="1"/>
    </row>
    <row r="156" spans="1:8" x14ac:dyDescent="0.2">
      <c r="A156" s="42"/>
      <c r="H156" s="1"/>
    </row>
    <row r="157" spans="1:8" x14ac:dyDescent="0.2">
      <c r="A157" s="42"/>
      <c r="H157" s="1"/>
    </row>
    <row r="158" spans="1:8" x14ac:dyDescent="0.2">
      <c r="A158" s="42"/>
      <c r="H158" s="1"/>
    </row>
    <row r="159" spans="1:8" x14ac:dyDescent="0.2">
      <c r="A159" s="42"/>
      <c r="H159" s="1"/>
    </row>
    <row r="160" spans="1:8" x14ac:dyDescent="0.2">
      <c r="A160" s="42"/>
      <c r="H160" s="1"/>
    </row>
    <row r="161" spans="1:8" x14ac:dyDescent="0.2">
      <c r="A161" s="42"/>
      <c r="H161" s="1"/>
    </row>
    <row r="162" spans="1:8" x14ac:dyDescent="0.2">
      <c r="A162" s="42"/>
      <c r="H162" s="1"/>
    </row>
    <row r="163" spans="1:8" x14ac:dyDescent="0.2">
      <c r="A163" s="42"/>
      <c r="H163" s="1"/>
    </row>
    <row r="164" spans="1:8" x14ac:dyDescent="0.2">
      <c r="A164" s="42"/>
      <c r="H164" s="1"/>
    </row>
    <row r="165" spans="1:8" x14ac:dyDescent="0.2">
      <c r="A165" s="42"/>
      <c r="H165" s="1"/>
    </row>
    <row r="166" spans="1:8" x14ac:dyDescent="0.2">
      <c r="A166" s="42"/>
      <c r="H166" s="1"/>
    </row>
    <row r="167" spans="1:8" x14ac:dyDescent="0.2">
      <c r="A167" s="42"/>
      <c r="H167" s="1"/>
    </row>
    <row r="168" spans="1:8" x14ac:dyDescent="0.2">
      <c r="A168" s="42"/>
      <c r="H168" s="1"/>
    </row>
    <row r="169" spans="1:8" x14ac:dyDescent="0.2">
      <c r="A169" s="42"/>
      <c r="H169" s="1"/>
    </row>
    <row r="170" spans="1:8" x14ac:dyDescent="0.2">
      <c r="A170" s="42"/>
      <c r="H170" s="1"/>
    </row>
    <row r="171" spans="1:8" x14ac:dyDescent="0.2">
      <c r="A171" s="42"/>
      <c r="H171" s="1"/>
    </row>
    <row r="172" spans="1:8" x14ac:dyDescent="0.2">
      <c r="A172" s="42"/>
      <c r="H172" s="1"/>
    </row>
    <row r="173" spans="1:8" x14ac:dyDescent="0.2">
      <c r="A173" s="42"/>
      <c r="H173" s="1"/>
    </row>
    <row r="174" spans="1:8" x14ac:dyDescent="0.2">
      <c r="A174" s="42"/>
      <c r="H174" s="1"/>
    </row>
    <row r="175" spans="1:8" x14ac:dyDescent="0.2">
      <c r="A175" s="42"/>
      <c r="H175" s="1"/>
    </row>
    <row r="176" spans="1:8" x14ac:dyDescent="0.2">
      <c r="A176" s="42"/>
      <c r="H176" s="1"/>
    </row>
    <row r="177" spans="1:8" x14ac:dyDescent="0.2">
      <c r="A177" s="42"/>
      <c r="H177" s="1"/>
    </row>
  </sheetData>
  <pageMargins left="0.7" right="0.7" top="0.75" bottom="0.75" header="0.3" footer="0.3"/>
  <pageSetup orientation="portrait" r:id="rId1"/>
  <ignoredErrors>
    <ignoredError sqref="H11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56"/>
  <sheetViews>
    <sheetView workbookViewId="0">
      <pane ySplit="3" topLeftCell="A78" activePane="bottomLeft" state="frozen"/>
      <selection pane="bottomLeft" activeCell="G90" sqref="G90:G94"/>
    </sheetView>
  </sheetViews>
  <sheetFormatPr defaultRowHeight="12.75" x14ac:dyDescent="0.2"/>
  <cols>
    <col min="1" max="1" width="10.42578125" customWidth="1"/>
    <col min="5" max="5" width="38.28515625" customWidth="1"/>
    <col min="16" max="16" width="17.42578125" customWidth="1"/>
  </cols>
  <sheetData>
    <row r="1" spans="1:16" x14ac:dyDescent="0.2">
      <c r="A1" s="2"/>
      <c r="B1" s="2"/>
      <c r="C1" s="2"/>
      <c r="D1" s="2"/>
      <c r="E1" s="2"/>
      <c r="I1" s="3" t="s">
        <v>24</v>
      </c>
      <c r="J1" s="3"/>
      <c r="K1" s="3"/>
    </row>
    <row r="2" spans="1:16" x14ac:dyDescent="0.2">
      <c r="D2" s="2" t="s">
        <v>113</v>
      </c>
      <c r="F2" s="2" t="s">
        <v>4</v>
      </c>
      <c r="G2" s="2" t="s">
        <v>140</v>
      </c>
      <c r="H2" s="2" t="s">
        <v>3</v>
      </c>
      <c r="J2" s="2" t="s">
        <v>8</v>
      </c>
      <c r="K2" s="2"/>
      <c r="P2" s="21" t="s">
        <v>154</v>
      </c>
    </row>
    <row r="3" spans="1:16" ht="13.5" thickBot="1" x14ac:dyDescent="0.25">
      <c r="A3" s="2" t="s">
        <v>0</v>
      </c>
      <c r="B3" s="2" t="s">
        <v>1</v>
      </c>
      <c r="C3" s="2" t="s">
        <v>108</v>
      </c>
      <c r="D3" s="2" t="s">
        <v>114</v>
      </c>
      <c r="E3" s="2" t="s">
        <v>2</v>
      </c>
      <c r="F3" s="2" t="s">
        <v>26</v>
      </c>
      <c r="G3" s="2" t="s">
        <v>3</v>
      </c>
      <c r="H3" s="2" t="s">
        <v>73</v>
      </c>
      <c r="I3" s="2" t="s">
        <v>5</v>
      </c>
      <c r="J3" s="4" t="s">
        <v>6</v>
      </c>
      <c r="K3" s="4" t="s">
        <v>7</v>
      </c>
      <c r="L3" s="1" t="s">
        <v>109</v>
      </c>
      <c r="M3" s="21" t="s">
        <v>110</v>
      </c>
      <c r="N3" s="21" t="s">
        <v>111</v>
      </c>
      <c r="O3" s="21" t="s">
        <v>112</v>
      </c>
      <c r="P3" s="21" t="s">
        <v>155</v>
      </c>
    </row>
    <row r="4" spans="1:16" x14ac:dyDescent="0.2">
      <c r="A4" s="42">
        <v>43364</v>
      </c>
      <c r="B4" s="1">
        <v>1</v>
      </c>
      <c r="C4" s="16" t="s">
        <v>118</v>
      </c>
      <c r="D4" s="16" t="s">
        <v>116</v>
      </c>
      <c r="E4" s="50" t="s">
        <v>117</v>
      </c>
      <c r="F4" s="16">
        <v>2</v>
      </c>
      <c r="G4" s="16">
        <v>1</v>
      </c>
      <c r="H4" s="56">
        <f t="shared" ref="H4:H94" si="0">G4/F4</f>
        <v>0.5</v>
      </c>
      <c r="I4" s="16">
        <v>0</v>
      </c>
      <c r="J4" s="36">
        <v>0</v>
      </c>
      <c r="K4" s="36">
        <v>0</v>
      </c>
      <c r="L4" s="1">
        <v>0</v>
      </c>
      <c r="M4" s="21">
        <v>0</v>
      </c>
      <c r="N4" s="21">
        <v>0</v>
      </c>
      <c r="O4" s="21">
        <v>0</v>
      </c>
      <c r="P4" s="21">
        <v>0</v>
      </c>
    </row>
    <row r="5" spans="1:16" x14ac:dyDescent="0.2">
      <c r="A5" s="42">
        <v>43339</v>
      </c>
      <c r="B5" s="1">
        <v>1</v>
      </c>
      <c r="C5" s="33" t="s">
        <v>27</v>
      </c>
      <c r="D5" s="16">
        <v>1</v>
      </c>
      <c r="E5" s="50" t="s">
        <v>9</v>
      </c>
      <c r="F5" s="16">
        <v>6</v>
      </c>
      <c r="G5" s="16">
        <v>0</v>
      </c>
      <c r="H5" s="56">
        <f t="shared" si="0"/>
        <v>0</v>
      </c>
      <c r="I5" s="16">
        <v>0</v>
      </c>
      <c r="J5" s="36">
        <v>0</v>
      </c>
      <c r="K5" s="36">
        <v>0</v>
      </c>
      <c r="L5" s="1">
        <v>0</v>
      </c>
      <c r="M5" s="21">
        <v>0</v>
      </c>
      <c r="N5" s="21">
        <v>0</v>
      </c>
      <c r="O5" s="21">
        <v>0</v>
      </c>
      <c r="P5" s="21">
        <v>0</v>
      </c>
    </row>
    <row r="6" spans="1:16" x14ac:dyDescent="0.2">
      <c r="A6" s="42">
        <v>43347</v>
      </c>
      <c r="B6" s="1">
        <v>2</v>
      </c>
      <c r="C6" s="33" t="s">
        <v>27</v>
      </c>
      <c r="D6" s="16">
        <v>1</v>
      </c>
      <c r="E6" s="50" t="s">
        <v>9</v>
      </c>
      <c r="F6" s="16">
        <v>6</v>
      </c>
      <c r="G6" s="16">
        <v>2</v>
      </c>
      <c r="H6" s="56">
        <f t="shared" si="0"/>
        <v>0.33333333333333331</v>
      </c>
      <c r="I6" s="16">
        <v>1</v>
      </c>
      <c r="J6" s="36">
        <v>1</v>
      </c>
      <c r="K6" s="36">
        <v>0</v>
      </c>
      <c r="L6" s="1">
        <v>1</v>
      </c>
      <c r="M6" s="21">
        <v>0</v>
      </c>
      <c r="N6" s="21">
        <v>0</v>
      </c>
      <c r="O6" s="21">
        <v>0</v>
      </c>
      <c r="P6" s="21">
        <v>2</v>
      </c>
    </row>
    <row r="7" spans="1:16" x14ac:dyDescent="0.2">
      <c r="A7" s="42">
        <v>43355</v>
      </c>
      <c r="B7" s="1">
        <v>3</v>
      </c>
      <c r="C7" s="33" t="s">
        <v>27</v>
      </c>
      <c r="D7" s="16">
        <v>1</v>
      </c>
      <c r="E7" s="50" t="s">
        <v>9</v>
      </c>
      <c r="F7" s="16">
        <v>6</v>
      </c>
      <c r="G7" s="16">
        <v>4</v>
      </c>
      <c r="H7" s="56">
        <f t="shared" si="0"/>
        <v>0.66666666666666663</v>
      </c>
      <c r="I7" s="16">
        <v>3</v>
      </c>
      <c r="J7" s="36">
        <v>1</v>
      </c>
      <c r="K7" s="36">
        <v>0</v>
      </c>
      <c r="L7" s="1">
        <v>1</v>
      </c>
      <c r="M7" s="21">
        <v>0</v>
      </c>
      <c r="N7" s="21">
        <v>0</v>
      </c>
      <c r="O7" s="21">
        <v>0</v>
      </c>
      <c r="P7" s="21">
        <v>0</v>
      </c>
    </row>
    <row r="8" spans="1:16" x14ac:dyDescent="0.2">
      <c r="A8" s="42">
        <v>43360</v>
      </c>
      <c r="B8" s="1">
        <v>4</v>
      </c>
      <c r="C8" s="33" t="s">
        <v>27</v>
      </c>
      <c r="D8" s="16">
        <v>1</v>
      </c>
      <c r="E8" s="50" t="s">
        <v>9</v>
      </c>
      <c r="F8" s="16">
        <v>6</v>
      </c>
      <c r="G8" s="16">
        <v>1</v>
      </c>
      <c r="H8" s="56">
        <f t="shared" si="0"/>
        <v>0.16666666666666666</v>
      </c>
      <c r="I8" s="16">
        <v>0</v>
      </c>
      <c r="J8" s="36">
        <v>0</v>
      </c>
      <c r="K8" s="36">
        <v>0</v>
      </c>
      <c r="L8" s="1">
        <v>0</v>
      </c>
      <c r="M8" s="21">
        <v>0</v>
      </c>
      <c r="N8" s="21">
        <v>0</v>
      </c>
      <c r="O8" s="21">
        <v>0</v>
      </c>
      <c r="P8" s="21">
        <v>0</v>
      </c>
    </row>
    <row r="9" spans="1:16" x14ac:dyDescent="0.2">
      <c r="A9" s="42">
        <v>43367</v>
      </c>
      <c r="B9" s="1">
        <v>5</v>
      </c>
      <c r="C9" s="33" t="s">
        <v>27</v>
      </c>
      <c r="D9" s="16">
        <v>1</v>
      </c>
      <c r="E9" s="50" t="s">
        <v>9</v>
      </c>
      <c r="F9" s="16">
        <v>6</v>
      </c>
      <c r="G9" s="16">
        <v>0</v>
      </c>
      <c r="H9" s="56">
        <f t="shared" si="0"/>
        <v>0</v>
      </c>
      <c r="I9" s="16">
        <v>0</v>
      </c>
      <c r="J9" s="36">
        <v>0</v>
      </c>
      <c r="K9" s="36">
        <v>0</v>
      </c>
      <c r="L9" s="1">
        <v>0</v>
      </c>
      <c r="M9" s="21">
        <v>0</v>
      </c>
      <c r="N9" s="21">
        <v>0</v>
      </c>
      <c r="O9" s="21">
        <v>0</v>
      </c>
      <c r="P9" s="21">
        <v>0</v>
      </c>
    </row>
    <row r="10" spans="1:16" x14ac:dyDescent="0.2">
      <c r="A10" s="42">
        <v>43333</v>
      </c>
      <c r="B10" s="1">
        <v>1</v>
      </c>
      <c r="C10" s="33" t="s">
        <v>28</v>
      </c>
      <c r="D10" s="16">
        <v>2</v>
      </c>
      <c r="E10" s="50" t="s">
        <v>10</v>
      </c>
      <c r="F10" s="16">
        <v>3</v>
      </c>
      <c r="G10" s="16">
        <v>1</v>
      </c>
      <c r="H10" s="56">
        <f t="shared" si="0"/>
        <v>0.33333333333333331</v>
      </c>
      <c r="I10" s="16">
        <v>1</v>
      </c>
      <c r="J10" s="36">
        <v>0</v>
      </c>
      <c r="K10" s="36">
        <v>0</v>
      </c>
      <c r="L10" s="1">
        <v>0</v>
      </c>
      <c r="M10" s="21">
        <v>0</v>
      </c>
      <c r="N10" s="21">
        <v>0</v>
      </c>
      <c r="O10" s="21">
        <v>0</v>
      </c>
      <c r="P10" s="21">
        <v>0</v>
      </c>
    </row>
    <row r="11" spans="1:16" x14ac:dyDescent="0.2">
      <c r="A11" s="42">
        <v>43339</v>
      </c>
      <c r="B11" s="1" t="s">
        <v>161</v>
      </c>
      <c r="C11" s="33" t="s">
        <v>28</v>
      </c>
      <c r="D11" s="16">
        <v>2</v>
      </c>
      <c r="E11" s="50" t="s">
        <v>10</v>
      </c>
      <c r="F11" s="16">
        <v>3</v>
      </c>
      <c r="G11" s="33">
        <v>2</v>
      </c>
      <c r="H11" s="56">
        <f t="shared" si="0"/>
        <v>0.66666666666666663</v>
      </c>
      <c r="I11" s="16">
        <v>2</v>
      </c>
      <c r="J11" s="36">
        <v>0</v>
      </c>
      <c r="K11" s="36">
        <v>0</v>
      </c>
      <c r="L11" s="1">
        <v>0</v>
      </c>
      <c r="M11" s="21">
        <v>0</v>
      </c>
      <c r="N11" s="21">
        <v>0</v>
      </c>
      <c r="O11" s="21">
        <v>0</v>
      </c>
      <c r="P11" s="21">
        <v>0</v>
      </c>
    </row>
    <row r="12" spans="1:16" x14ac:dyDescent="0.2">
      <c r="A12" s="42">
        <v>43347</v>
      </c>
      <c r="B12" s="1" t="s">
        <v>162</v>
      </c>
      <c r="C12" s="33" t="s">
        <v>28</v>
      </c>
      <c r="D12" s="16">
        <v>2</v>
      </c>
      <c r="E12" s="50" t="s">
        <v>10</v>
      </c>
      <c r="F12" s="16">
        <v>3</v>
      </c>
      <c r="G12" s="16">
        <v>4</v>
      </c>
      <c r="H12" s="56">
        <f t="shared" si="0"/>
        <v>1.3333333333333333</v>
      </c>
      <c r="I12" s="16">
        <v>8</v>
      </c>
      <c r="J12" s="36">
        <v>0</v>
      </c>
      <c r="K12" s="36">
        <v>0</v>
      </c>
      <c r="L12" s="1">
        <v>0</v>
      </c>
      <c r="M12" s="21">
        <v>0</v>
      </c>
      <c r="N12" s="21">
        <v>0</v>
      </c>
      <c r="O12" s="21">
        <v>0</v>
      </c>
      <c r="P12" s="21">
        <v>0</v>
      </c>
    </row>
    <row r="13" spans="1:16" x14ac:dyDescent="0.2">
      <c r="A13" s="42">
        <v>43355</v>
      </c>
      <c r="B13" s="1">
        <v>3</v>
      </c>
      <c r="C13" s="33" t="s">
        <v>28</v>
      </c>
      <c r="D13" s="16">
        <v>2</v>
      </c>
      <c r="E13" s="50" t="s">
        <v>10</v>
      </c>
      <c r="F13" s="16">
        <v>3</v>
      </c>
      <c r="G13" s="16">
        <v>15</v>
      </c>
      <c r="H13" s="56">
        <f t="shared" si="0"/>
        <v>5</v>
      </c>
      <c r="I13" s="16">
        <v>10</v>
      </c>
      <c r="J13" s="36">
        <v>8</v>
      </c>
      <c r="K13" s="36">
        <v>2</v>
      </c>
      <c r="L13" s="1">
        <v>3</v>
      </c>
      <c r="M13" s="21">
        <v>5</v>
      </c>
      <c r="N13" s="21">
        <v>0</v>
      </c>
      <c r="O13" s="21">
        <v>2</v>
      </c>
      <c r="P13" s="21">
        <v>1</v>
      </c>
    </row>
    <row r="14" spans="1:16" x14ac:dyDescent="0.2">
      <c r="A14" s="42">
        <v>43360</v>
      </c>
      <c r="B14" s="1">
        <v>4</v>
      </c>
      <c r="C14" s="33" t="s">
        <v>28</v>
      </c>
      <c r="D14" s="16">
        <v>2</v>
      </c>
      <c r="E14" s="50" t="s">
        <v>10</v>
      </c>
      <c r="F14" s="16">
        <v>3</v>
      </c>
      <c r="G14" s="16">
        <v>1</v>
      </c>
      <c r="H14" s="56">
        <f t="shared" si="0"/>
        <v>0.33333333333333331</v>
      </c>
      <c r="I14" s="16">
        <v>2</v>
      </c>
      <c r="J14" s="36">
        <v>4</v>
      </c>
      <c r="K14" s="36">
        <v>1</v>
      </c>
      <c r="L14" s="1">
        <v>3</v>
      </c>
      <c r="M14" s="21">
        <v>1</v>
      </c>
      <c r="N14" s="21">
        <v>1</v>
      </c>
      <c r="O14" s="21">
        <v>0</v>
      </c>
      <c r="P14" s="21">
        <v>0</v>
      </c>
    </row>
    <row r="15" spans="1:16" x14ac:dyDescent="0.2">
      <c r="A15" s="42">
        <v>43367</v>
      </c>
      <c r="B15" s="1">
        <v>5</v>
      </c>
      <c r="C15" s="33" t="s">
        <v>28</v>
      </c>
      <c r="D15" s="16">
        <v>2</v>
      </c>
      <c r="E15" s="50" t="s">
        <v>10</v>
      </c>
      <c r="F15" s="16">
        <v>3</v>
      </c>
      <c r="G15" s="16">
        <v>0</v>
      </c>
      <c r="H15" s="56">
        <f t="shared" si="0"/>
        <v>0</v>
      </c>
      <c r="I15" s="16">
        <v>0</v>
      </c>
      <c r="J15" s="36">
        <v>1</v>
      </c>
      <c r="K15" s="36">
        <v>0</v>
      </c>
      <c r="L15" s="1">
        <v>0</v>
      </c>
      <c r="M15" s="21">
        <v>1</v>
      </c>
      <c r="N15" s="21">
        <v>0</v>
      </c>
      <c r="O15" s="21">
        <v>0</v>
      </c>
      <c r="P15" s="21">
        <v>0</v>
      </c>
    </row>
    <row r="16" spans="1:16" x14ac:dyDescent="0.2">
      <c r="A16" s="42">
        <v>43292</v>
      </c>
      <c r="B16" s="1" t="s">
        <v>127</v>
      </c>
      <c r="C16" s="33" t="s">
        <v>29</v>
      </c>
      <c r="D16" s="16">
        <v>3</v>
      </c>
      <c r="E16" s="50" t="s">
        <v>11</v>
      </c>
      <c r="F16" s="16">
        <v>2</v>
      </c>
      <c r="G16" s="16">
        <v>0</v>
      </c>
      <c r="H16" s="56">
        <f t="shared" si="0"/>
        <v>0</v>
      </c>
      <c r="I16" s="16">
        <v>0</v>
      </c>
      <c r="J16" s="36">
        <v>0</v>
      </c>
      <c r="K16" s="36">
        <v>0</v>
      </c>
      <c r="L16" s="1">
        <v>0</v>
      </c>
      <c r="M16" s="21">
        <v>0</v>
      </c>
      <c r="N16" s="21">
        <v>0</v>
      </c>
      <c r="O16" s="21">
        <v>0</v>
      </c>
      <c r="P16" s="21">
        <v>0</v>
      </c>
    </row>
    <row r="17" spans="1:16" x14ac:dyDescent="0.2">
      <c r="A17" s="42">
        <v>43333</v>
      </c>
      <c r="B17" s="1">
        <v>1</v>
      </c>
      <c r="C17" s="33" t="s">
        <v>29</v>
      </c>
      <c r="D17" s="16">
        <v>3</v>
      </c>
      <c r="E17" s="50" t="s">
        <v>11</v>
      </c>
      <c r="F17" s="16">
        <v>2</v>
      </c>
      <c r="G17" s="16">
        <v>2</v>
      </c>
      <c r="H17" s="56">
        <f t="shared" si="0"/>
        <v>1</v>
      </c>
      <c r="I17" s="16">
        <v>1</v>
      </c>
      <c r="J17" s="36">
        <v>0</v>
      </c>
      <c r="K17" s="36">
        <v>0</v>
      </c>
      <c r="L17" s="1">
        <v>0</v>
      </c>
      <c r="M17" s="21">
        <v>0</v>
      </c>
      <c r="N17" s="21">
        <v>0</v>
      </c>
      <c r="O17" s="21">
        <v>0</v>
      </c>
      <c r="P17" s="21">
        <v>0</v>
      </c>
    </row>
    <row r="18" spans="1:16" x14ac:dyDescent="0.2">
      <c r="A18" s="42">
        <v>43341</v>
      </c>
      <c r="B18" s="1">
        <v>2</v>
      </c>
      <c r="C18" s="33" t="s">
        <v>29</v>
      </c>
      <c r="D18" s="16">
        <v>3</v>
      </c>
      <c r="E18" s="50" t="s">
        <v>11</v>
      </c>
      <c r="F18" s="16">
        <v>2</v>
      </c>
      <c r="G18" s="16">
        <v>1</v>
      </c>
      <c r="H18" s="56">
        <f t="shared" si="0"/>
        <v>0.5</v>
      </c>
      <c r="I18" s="16">
        <v>1</v>
      </c>
      <c r="J18" s="36">
        <v>0</v>
      </c>
      <c r="K18" s="36">
        <v>1</v>
      </c>
      <c r="L18" s="1">
        <v>0</v>
      </c>
      <c r="M18" s="21">
        <v>0</v>
      </c>
      <c r="N18" s="21">
        <v>0</v>
      </c>
      <c r="O18" s="21">
        <v>1</v>
      </c>
      <c r="P18" s="21">
        <v>0</v>
      </c>
    </row>
    <row r="19" spans="1:16" x14ac:dyDescent="0.2">
      <c r="A19" s="42">
        <v>43348</v>
      </c>
      <c r="B19" s="1">
        <v>3</v>
      </c>
      <c r="C19" s="33" t="s">
        <v>29</v>
      </c>
      <c r="D19" s="16">
        <v>3</v>
      </c>
      <c r="E19" s="50" t="s">
        <v>11</v>
      </c>
      <c r="F19" s="16">
        <v>2</v>
      </c>
      <c r="G19" s="16">
        <v>6</v>
      </c>
      <c r="H19" s="56">
        <f t="shared" si="0"/>
        <v>3</v>
      </c>
      <c r="I19" s="16">
        <v>6</v>
      </c>
      <c r="J19" s="36">
        <v>0</v>
      </c>
      <c r="K19" s="36">
        <v>1</v>
      </c>
      <c r="L19" s="1">
        <v>0</v>
      </c>
      <c r="M19" s="21">
        <v>0</v>
      </c>
      <c r="N19" s="21">
        <v>0</v>
      </c>
      <c r="O19" s="21">
        <v>1</v>
      </c>
      <c r="P19" s="21">
        <v>0</v>
      </c>
    </row>
    <row r="20" spans="1:16" x14ac:dyDescent="0.2">
      <c r="A20" s="42">
        <v>43354</v>
      </c>
      <c r="B20" s="1">
        <v>4</v>
      </c>
      <c r="C20" s="33" t="s">
        <v>29</v>
      </c>
      <c r="D20" s="16">
        <v>3</v>
      </c>
      <c r="E20" s="50" t="s">
        <v>11</v>
      </c>
      <c r="F20" s="16">
        <v>2</v>
      </c>
      <c r="G20" s="16">
        <v>2</v>
      </c>
      <c r="H20" s="56">
        <f t="shared" si="0"/>
        <v>1</v>
      </c>
      <c r="I20" s="16">
        <v>7</v>
      </c>
      <c r="J20" s="36">
        <v>4</v>
      </c>
      <c r="K20" s="36">
        <v>1</v>
      </c>
      <c r="L20" s="1">
        <v>0</v>
      </c>
      <c r="M20" s="21">
        <v>4</v>
      </c>
      <c r="N20" s="21">
        <v>0</v>
      </c>
      <c r="O20" s="21">
        <v>1</v>
      </c>
      <c r="P20" s="21">
        <v>0</v>
      </c>
    </row>
    <row r="21" spans="1:16" x14ac:dyDescent="0.2">
      <c r="A21" s="42">
        <v>43360</v>
      </c>
      <c r="B21" s="1">
        <v>5</v>
      </c>
      <c r="C21" s="33" t="s">
        <v>29</v>
      </c>
      <c r="D21" s="16">
        <v>3</v>
      </c>
      <c r="E21" s="50" t="s">
        <v>11</v>
      </c>
      <c r="F21" s="16">
        <v>2</v>
      </c>
      <c r="G21" s="16">
        <v>2</v>
      </c>
      <c r="H21" s="56">
        <f t="shared" si="0"/>
        <v>1</v>
      </c>
      <c r="I21" s="16">
        <v>1</v>
      </c>
      <c r="J21" s="36">
        <v>1</v>
      </c>
      <c r="K21" s="36">
        <v>1</v>
      </c>
      <c r="L21" s="1">
        <v>0</v>
      </c>
      <c r="M21" s="21">
        <v>1</v>
      </c>
      <c r="N21" s="21">
        <v>0</v>
      </c>
      <c r="O21" s="21">
        <v>1</v>
      </c>
      <c r="P21" s="21">
        <v>0</v>
      </c>
    </row>
    <row r="22" spans="1:16" x14ac:dyDescent="0.2">
      <c r="A22" s="42">
        <v>43292</v>
      </c>
      <c r="B22" s="1" t="s">
        <v>127</v>
      </c>
      <c r="C22" s="33" t="s">
        <v>30</v>
      </c>
      <c r="D22" s="16">
        <v>4</v>
      </c>
      <c r="E22" s="50" t="s">
        <v>12</v>
      </c>
      <c r="F22" s="16">
        <v>5</v>
      </c>
      <c r="G22" s="16">
        <v>0</v>
      </c>
      <c r="H22" s="56">
        <f t="shared" si="0"/>
        <v>0</v>
      </c>
      <c r="I22" s="16">
        <v>0</v>
      </c>
      <c r="J22" s="36">
        <v>0</v>
      </c>
      <c r="K22" s="36">
        <v>0</v>
      </c>
      <c r="L22" s="1">
        <v>0</v>
      </c>
      <c r="M22" s="21">
        <v>0</v>
      </c>
      <c r="N22" s="21">
        <v>0</v>
      </c>
      <c r="O22" s="21">
        <v>0</v>
      </c>
      <c r="P22" s="21">
        <v>0</v>
      </c>
    </row>
    <row r="23" spans="1:16" x14ac:dyDescent="0.2">
      <c r="A23" s="42">
        <v>43333</v>
      </c>
      <c r="B23" s="1">
        <v>1</v>
      </c>
      <c r="C23" s="33" t="s">
        <v>30</v>
      </c>
      <c r="D23" s="16">
        <v>4</v>
      </c>
      <c r="E23" s="50" t="s">
        <v>12</v>
      </c>
      <c r="F23" s="16">
        <v>5</v>
      </c>
      <c r="G23" s="16">
        <v>1</v>
      </c>
      <c r="H23" s="56">
        <f t="shared" si="0"/>
        <v>0.2</v>
      </c>
      <c r="I23" s="16">
        <v>2</v>
      </c>
      <c r="J23" s="36">
        <v>0</v>
      </c>
      <c r="K23" s="36">
        <v>0</v>
      </c>
      <c r="L23" s="1">
        <v>0</v>
      </c>
      <c r="M23" s="21">
        <v>0</v>
      </c>
      <c r="N23" s="21">
        <v>0</v>
      </c>
      <c r="O23" s="21">
        <v>0</v>
      </c>
      <c r="P23" s="21">
        <v>0</v>
      </c>
    </row>
    <row r="24" spans="1:16" x14ac:dyDescent="0.2">
      <c r="A24" s="42">
        <v>43341</v>
      </c>
      <c r="B24" s="1">
        <v>2</v>
      </c>
      <c r="C24" s="33" t="s">
        <v>30</v>
      </c>
      <c r="D24" s="16">
        <v>4</v>
      </c>
      <c r="E24" s="50" t="s">
        <v>12</v>
      </c>
      <c r="F24" s="16">
        <v>5</v>
      </c>
      <c r="G24" s="16">
        <v>2</v>
      </c>
      <c r="H24" s="56">
        <f t="shared" si="0"/>
        <v>0.4</v>
      </c>
      <c r="I24" s="16">
        <v>3</v>
      </c>
      <c r="J24" s="36">
        <v>0</v>
      </c>
      <c r="K24" s="36">
        <v>0</v>
      </c>
      <c r="L24" s="1">
        <v>0</v>
      </c>
      <c r="M24" s="21">
        <v>0</v>
      </c>
      <c r="N24" s="21">
        <v>0</v>
      </c>
      <c r="O24" s="21">
        <v>0</v>
      </c>
      <c r="P24" s="21">
        <v>1</v>
      </c>
    </row>
    <row r="25" spans="1:16" x14ac:dyDescent="0.2">
      <c r="A25" s="42">
        <v>43348</v>
      </c>
      <c r="B25" s="1">
        <v>3</v>
      </c>
      <c r="C25" s="33" t="s">
        <v>30</v>
      </c>
      <c r="D25" s="16">
        <v>4</v>
      </c>
      <c r="E25" s="50" t="s">
        <v>12</v>
      </c>
      <c r="F25" s="16">
        <v>5</v>
      </c>
      <c r="G25" s="16">
        <v>5</v>
      </c>
      <c r="H25" s="56">
        <f t="shared" si="0"/>
        <v>1</v>
      </c>
      <c r="I25" s="16">
        <v>4</v>
      </c>
      <c r="J25" s="36">
        <v>1</v>
      </c>
      <c r="K25" s="36">
        <v>0</v>
      </c>
      <c r="L25" s="1">
        <v>0</v>
      </c>
      <c r="M25" s="21">
        <v>1</v>
      </c>
      <c r="N25" s="21">
        <v>0</v>
      </c>
      <c r="O25" s="21">
        <v>0</v>
      </c>
      <c r="P25" s="21">
        <v>0</v>
      </c>
    </row>
    <row r="26" spans="1:16" x14ac:dyDescent="0.2">
      <c r="A26" s="42">
        <v>43354</v>
      </c>
      <c r="B26" s="1">
        <v>4</v>
      </c>
      <c r="C26" s="33" t="s">
        <v>30</v>
      </c>
      <c r="D26" s="16">
        <v>4</v>
      </c>
      <c r="E26" s="50" t="s">
        <v>12</v>
      </c>
      <c r="F26" s="16">
        <v>5</v>
      </c>
      <c r="G26" s="16">
        <v>6</v>
      </c>
      <c r="H26" s="56">
        <f t="shared" si="0"/>
        <v>1.2</v>
      </c>
      <c r="I26" s="16">
        <v>22</v>
      </c>
      <c r="J26" s="36">
        <v>5</v>
      </c>
      <c r="K26" s="36">
        <v>1</v>
      </c>
      <c r="L26" s="1">
        <v>1</v>
      </c>
      <c r="M26" s="21">
        <v>4</v>
      </c>
      <c r="N26" s="21">
        <v>1</v>
      </c>
      <c r="O26" s="21">
        <v>0</v>
      </c>
      <c r="P26" s="21">
        <v>0</v>
      </c>
    </row>
    <row r="27" spans="1:16" x14ac:dyDescent="0.2">
      <c r="A27" s="42">
        <v>43360</v>
      </c>
      <c r="B27" s="1">
        <v>5</v>
      </c>
      <c r="C27" s="33" t="s">
        <v>30</v>
      </c>
      <c r="D27" s="16">
        <v>4</v>
      </c>
      <c r="E27" s="50" t="s">
        <v>12</v>
      </c>
      <c r="F27" s="16">
        <v>5</v>
      </c>
      <c r="G27" s="16">
        <v>3</v>
      </c>
      <c r="H27" s="56">
        <f t="shared" si="0"/>
        <v>0.6</v>
      </c>
      <c r="I27" s="16">
        <v>3</v>
      </c>
      <c r="J27" s="36">
        <v>4</v>
      </c>
      <c r="K27" s="36">
        <v>0</v>
      </c>
      <c r="L27" s="1">
        <v>2</v>
      </c>
      <c r="M27" s="21">
        <v>2</v>
      </c>
      <c r="N27" s="21">
        <v>0</v>
      </c>
      <c r="O27" s="21">
        <v>0</v>
      </c>
      <c r="P27" s="21">
        <v>0</v>
      </c>
    </row>
    <row r="28" spans="1:16" x14ac:dyDescent="0.2">
      <c r="A28" s="42">
        <v>43293</v>
      </c>
      <c r="B28" s="1" t="s">
        <v>127</v>
      </c>
      <c r="C28" s="33" t="s">
        <v>31</v>
      </c>
      <c r="D28" s="16">
        <v>5</v>
      </c>
      <c r="E28" s="50" t="s">
        <v>159</v>
      </c>
      <c r="F28" s="16">
        <v>2</v>
      </c>
      <c r="G28" s="16">
        <v>0</v>
      </c>
      <c r="H28" s="56">
        <f t="shared" si="0"/>
        <v>0</v>
      </c>
      <c r="I28" s="16">
        <v>0</v>
      </c>
      <c r="J28" s="36">
        <v>0</v>
      </c>
      <c r="K28" s="36">
        <v>0</v>
      </c>
      <c r="L28" s="1">
        <v>0</v>
      </c>
      <c r="M28" s="21">
        <v>0</v>
      </c>
      <c r="N28" s="21">
        <v>0</v>
      </c>
      <c r="O28" s="21">
        <v>0</v>
      </c>
      <c r="P28" s="21">
        <v>0</v>
      </c>
    </row>
    <row r="29" spans="1:16" x14ac:dyDescent="0.2">
      <c r="A29" s="42">
        <v>43306</v>
      </c>
      <c r="B29" s="1" t="s">
        <v>127</v>
      </c>
      <c r="C29" s="33" t="s">
        <v>31</v>
      </c>
      <c r="D29" s="16">
        <v>5</v>
      </c>
      <c r="E29" s="50" t="s">
        <v>159</v>
      </c>
      <c r="F29" s="16">
        <v>2</v>
      </c>
      <c r="G29" s="16">
        <v>0</v>
      </c>
      <c r="H29" s="56">
        <f t="shared" si="0"/>
        <v>0</v>
      </c>
      <c r="I29" s="16">
        <v>0</v>
      </c>
      <c r="J29" s="36">
        <v>0</v>
      </c>
      <c r="K29" s="36">
        <v>0</v>
      </c>
      <c r="L29" s="1">
        <v>0</v>
      </c>
      <c r="M29" s="21">
        <v>0</v>
      </c>
      <c r="N29" s="21">
        <v>0</v>
      </c>
      <c r="O29" s="21">
        <v>0</v>
      </c>
      <c r="P29" s="21">
        <v>0</v>
      </c>
    </row>
    <row r="30" spans="1:16" x14ac:dyDescent="0.2">
      <c r="A30" s="57">
        <v>43322</v>
      </c>
      <c r="B30" s="1" t="s">
        <v>127</v>
      </c>
      <c r="C30" s="33" t="s">
        <v>31</v>
      </c>
      <c r="D30" s="16">
        <v>5</v>
      </c>
      <c r="E30" s="50" t="s">
        <v>159</v>
      </c>
      <c r="F30" s="16">
        <v>2</v>
      </c>
      <c r="G30" s="16">
        <v>0</v>
      </c>
      <c r="H30" s="56">
        <f t="shared" si="0"/>
        <v>0</v>
      </c>
      <c r="I30" s="16">
        <v>0</v>
      </c>
      <c r="J30" s="36">
        <v>0</v>
      </c>
      <c r="K30" s="36">
        <v>0</v>
      </c>
      <c r="L30" s="1">
        <v>0</v>
      </c>
      <c r="M30" s="21">
        <v>0</v>
      </c>
      <c r="N30" s="21">
        <v>0</v>
      </c>
      <c r="O30" s="21">
        <v>0</v>
      </c>
      <c r="P30" s="21">
        <v>0</v>
      </c>
    </row>
    <row r="31" spans="1:16" x14ac:dyDescent="0.2">
      <c r="A31" s="57">
        <v>43332</v>
      </c>
      <c r="B31" s="1" t="s">
        <v>127</v>
      </c>
      <c r="C31" s="33" t="s">
        <v>31</v>
      </c>
      <c r="D31" s="16">
        <v>5</v>
      </c>
      <c r="E31" s="50" t="s">
        <v>159</v>
      </c>
      <c r="F31" s="16">
        <v>2</v>
      </c>
      <c r="G31" s="16">
        <v>0</v>
      </c>
      <c r="H31" s="56">
        <f t="shared" si="0"/>
        <v>0</v>
      </c>
      <c r="I31" s="16">
        <v>0</v>
      </c>
      <c r="J31" s="36">
        <v>0</v>
      </c>
      <c r="K31" s="36">
        <v>0</v>
      </c>
      <c r="L31" s="1">
        <v>0</v>
      </c>
      <c r="M31" s="21">
        <v>0</v>
      </c>
      <c r="N31" s="21">
        <v>0</v>
      </c>
      <c r="O31" s="21">
        <v>0</v>
      </c>
      <c r="P31" s="21">
        <v>0</v>
      </c>
    </row>
    <row r="32" spans="1:16" x14ac:dyDescent="0.2">
      <c r="A32" s="57">
        <v>43341</v>
      </c>
      <c r="B32" s="1">
        <v>1</v>
      </c>
      <c r="C32" s="33" t="s">
        <v>31</v>
      </c>
      <c r="D32" s="16">
        <v>5</v>
      </c>
      <c r="E32" s="50" t="s">
        <v>159</v>
      </c>
      <c r="F32" s="16">
        <v>2</v>
      </c>
      <c r="G32" s="16">
        <v>0</v>
      </c>
      <c r="H32" s="56">
        <f t="shared" si="0"/>
        <v>0</v>
      </c>
      <c r="I32" s="16">
        <v>1</v>
      </c>
      <c r="J32" s="36">
        <v>0</v>
      </c>
      <c r="K32" s="36">
        <v>0</v>
      </c>
      <c r="L32" s="1">
        <v>0</v>
      </c>
      <c r="M32" s="21">
        <v>0</v>
      </c>
      <c r="N32" s="21">
        <v>0</v>
      </c>
      <c r="O32" s="21">
        <v>0</v>
      </c>
      <c r="P32" s="21">
        <v>0</v>
      </c>
    </row>
    <row r="33" spans="1:16" x14ac:dyDescent="0.2">
      <c r="A33" s="57">
        <v>43348</v>
      </c>
      <c r="B33" s="1">
        <v>2</v>
      </c>
      <c r="C33" s="33" t="s">
        <v>31</v>
      </c>
      <c r="D33" s="16">
        <v>5</v>
      </c>
      <c r="E33" s="50" t="s">
        <v>159</v>
      </c>
      <c r="F33" s="16">
        <v>2</v>
      </c>
      <c r="G33" s="16">
        <v>1</v>
      </c>
      <c r="H33" s="56">
        <f t="shared" si="0"/>
        <v>0.5</v>
      </c>
      <c r="I33" s="16">
        <v>0</v>
      </c>
      <c r="J33" s="36">
        <v>0</v>
      </c>
      <c r="K33" s="36">
        <v>0</v>
      </c>
      <c r="L33" s="1">
        <v>0</v>
      </c>
      <c r="M33" s="21">
        <v>0</v>
      </c>
      <c r="N33" s="21">
        <v>0</v>
      </c>
      <c r="O33" s="21">
        <v>0</v>
      </c>
      <c r="P33" s="21">
        <v>0</v>
      </c>
    </row>
    <row r="34" spans="1:16" x14ac:dyDescent="0.2">
      <c r="A34" s="57">
        <v>43353</v>
      </c>
      <c r="B34" s="1">
        <v>3</v>
      </c>
      <c r="C34" s="33" t="s">
        <v>31</v>
      </c>
      <c r="D34" s="16">
        <v>5</v>
      </c>
      <c r="E34" s="50" t="s">
        <v>159</v>
      </c>
      <c r="F34" s="16">
        <v>2</v>
      </c>
      <c r="G34" s="16">
        <v>3</v>
      </c>
      <c r="H34" s="56">
        <f t="shared" si="0"/>
        <v>1.5</v>
      </c>
      <c r="I34" s="16">
        <v>5</v>
      </c>
      <c r="J34" s="36">
        <v>1</v>
      </c>
      <c r="K34" s="36">
        <v>1</v>
      </c>
      <c r="L34" s="1">
        <v>0</v>
      </c>
      <c r="M34" s="21">
        <v>1</v>
      </c>
      <c r="N34" s="21">
        <v>1</v>
      </c>
      <c r="O34" s="21">
        <v>0</v>
      </c>
      <c r="P34" s="21">
        <v>0</v>
      </c>
    </row>
    <row r="35" spans="1:16" x14ac:dyDescent="0.2">
      <c r="A35" s="57">
        <v>43360</v>
      </c>
      <c r="B35" s="1">
        <v>4</v>
      </c>
      <c r="C35" s="33" t="s">
        <v>31</v>
      </c>
      <c r="D35" s="16">
        <v>5</v>
      </c>
      <c r="E35" s="50" t="s">
        <v>159</v>
      </c>
      <c r="F35" s="16">
        <v>2</v>
      </c>
      <c r="G35" s="16">
        <v>3</v>
      </c>
      <c r="H35" s="56">
        <f t="shared" si="0"/>
        <v>1.5</v>
      </c>
      <c r="I35" s="16">
        <v>2</v>
      </c>
      <c r="J35" s="36">
        <v>7</v>
      </c>
      <c r="K35" s="36">
        <v>0</v>
      </c>
      <c r="L35" s="1">
        <v>3</v>
      </c>
      <c r="M35" s="21">
        <v>4</v>
      </c>
      <c r="N35" s="21">
        <v>0</v>
      </c>
      <c r="O35" s="21">
        <v>0</v>
      </c>
      <c r="P35" s="21">
        <v>0</v>
      </c>
    </row>
    <row r="36" spans="1:16" x14ac:dyDescent="0.2">
      <c r="A36" s="57">
        <v>43367</v>
      </c>
      <c r="B36" s="1">
        <v>5</v>
      </c>
      <c r="C36" s="33" t="s">
        <v>31</v>
      </c>
      <c r="D36" s="16">
        <v>5</v>
      </c>
      <c r="E36" s="50" t="s">
        <v>159</v>
      </c>
      <c r="F36" s="16">
        <v>2</v>
      </c>
      <c r="G36" s="16">
        <v>0</v>
      </c>
      <c r="H36" s="56">
        <f t="shared" si="0"/>
        <v>0</v>
      </c>
      <c r="I36" s="16">
        <v>0</v>
      </c>
      <c r="J36" s="36">
        <v>0</v>
      </c>
      <c r="K36" s="36">
        <v>0</v>
      </c>
      <c r="L36" s="1">
        <v>0</v>
      </c>
      <c r="M36" s="21">
        <v>0</v>
      </c>
      <c r="N36" s="21">
        <v>0</v>
      </c>
      <c r="O36" s="21">
        <v>0</v>
      </c>
      <c r="P36" s="21">
        <v>0</v>
      </c>
    </row>
    <row r="37" spans="1:16" x14ac:dyDescent="0.2">
      <c r="A37" s="57">
        <v>43293</v>
      </c>
      <c r="B37" s="1" t="s">
        <v>127</v>
      </c>
      <c r="C37" s="33" t="s">
        <v>32</v>
      </c>
      <c r="D37" s="16">
        <v>6</v>
      </c>
      <c r="E37" s="50" t="s">
        <v>14</v>
      </c>
      <c r="F37" s="16">
        <v>4</v>
      </c>
      <c r="G37" s="16">
        <v>0</v>
      </c>
      <c r="H37" s="56">
        <f t="shared" si="0"/>
        <v>0</v>
      </c>
      <c r="I37" s="16">
        <v>0</v>
      </c>
      <c r="J37" s="36">
        <v>0</v>
      </c>
      <c r="K37" s="36">
        <v>0</v>
      </c>
      <c r="L37" s="1">
        <v>0</v>
      </c>
      <c r="M37" s="21">
        <v>0</v>
      </c>
      <c r="N37" s="21">
        <v>0</v>
      </c>
      <c r="O37" s="21">
        <v>0</v>
      </c>
      <c r="P37" s="21">
        <v>0</v>
      </c>
    </row>
    <row r="38" spans="1:16" x14ac:dyDescent="0.2">
      <c r="A38" s="57">
        <v>43306</v>
      </c>
      <c r="B38" s="1" t="s">
        <v>127</v>
      </c>
      <c r="C38" s="33" t="s">
        <v>32</v>
      </c>
      <c r="D38" s="16">
        <v>6</v>
      </c>
      <c r="E38" s="50" t="s">
        <v>14</v>
      </c>
      <c r="F38" s="16">
        <v>4</v>
      </c>
      <c r="G38" s="16">
        <v>0</v>
      </c>
      <c r="H38" s="56">
        <f t="shared" si="0"/>
        <v>0</v>
      </c>
      <c r="I38" s="16">
        <v>0</v>
      </c>
      <c r="J38" s="36">
        <v>0</v>
      </c>
      <c r="K38" s="36">
        <v>0</v>
      </c>
      <c r="L38" s="1">
        <v>0</v>
      </c>
      <c r="M38" s="21">
        <v>0</v>
      </c>
      <c r="N38" s="21">
        <v>0</v>
      </c>
      <c r="O38" s="21">
        <v>0</v>
      </c>
      <c r="P38" s="21">
        <v>0</v>
      </c>
    </row>
    <row r="39" spans="1:16" x14ac:dyDescent="0.2">
      <c r="A39" s="57">
        <v>43322</v>
      </c>
      <c r="B39" s="1" t="s">
        <v>127</v>
      </c>
      <c r="C39" s="33" t="s">
        <v>32</v>
      </c>
      <c r="D39" s="16">
        <v>6</v>
      </c>
      <c r="E39" s="50" t="s">
        <v>14</v>
      </c>
      <c r="F39" s="16">
        <v>4</v>
      </c>
      <c r="G39" s="16">
        <v>0</v>
      </c>
      <c r="H39" s="56">
        <f t="shared" si="0"/>
        <v>0</v>
      </c>
      <c r="I39" s="16">
        <v>0</v>
      </c>
      <c r="J39" s="36">
        <v>0</v>
      </c>
      <c r="K39" s="36">
        <v>0</v>
      </c>
      <c r="L39" s="1">
        <v>0</v>
      </c>
      <c r="M39" s="21">
        <v>0</v>
      </c>
      <c r="N39" s="21">
        <v>0</v>
      </c>
      <c r="O39" s="21">
        <v>0</v>
      </c>
      <c r="P39" s="21">
        <v>0</v>
      </c>
    </row>
    <row r="40" spans="1:16" x14ac:dyDescent="0.2">
      <c r="A40" s="70">
        <v>43332</v>
      </c>
      <c r="B40" s="16" t="s">
        <v>127</v>
      </c>
      <c r="C40" s="33" t="s">
        <v>32</v>
      </c>
      <c r="D40" s="16">
        <v>6</v>
      </c>
      <c r="E40" s="50" t="s">
        <v>14</v>
      </c>
      <c r="F40" s="16">
        <v>4</v>
      </c>
      <c r="G40" s="16">
        <v>0</v>
      </c>
      <c r="H40" s="56">
        <f t="shared" si="0"/>
        <v>0</v>
      </c>
      <c r="I40" s="16">
        <v>0</v>
      </c>
      <c r="J40" s="36">
        <v>0</v>
      </c>
      <c r="K40" s="36">
        <v>0</v>
      </c>
      <c r="L40" s="1">
        <v>0</v>
      </c>
      <c r="M40" s="21">
        <v>0</v>
      </c>
      <c r="N40" s="21">
        <v>0</v>
      </c>
      <c r="O40" s="21">
        <v>0</v>
      </c>
      <c r="P40" s="21">
        <v>0</v>
      </c>
    </row>
    <row r="41" spans="1:16" x14ac:dyDescent="0.2">
      <c r="A41" s="70">
        <v>43341</v>
      </c>
      <c r="B41" s="16">
        <v>1</v>
      </c>
      <c r="C41" s="33" t="s">
        <v>32</v>
      </c>
      <c r="D41" s="16">
        <v>6</v>
      </c>
      <c r="E41" s="50" t="s">
        <v>14</v>
      </c>
      <c r="F41" s="16">
        <v>4</v>
      </c>
      <c r="G41" s="16">
        <v>0</v>
      </c>
      <c r="H41" s="56">
        <f t="shared" si="0"/>
        <v>0</v>
      </c>
      <c r="I41" s="16">
        <v>0</v>
      </c>
      <c r="J41" s="36">
        <v>0</v>
      </c>
      <c r="K41" s="36">
        <v>0</v>
      </c>
      <c r="L41" s="1">
        <v>0</v>
      </c>
      <c r="M41" s="21">
        <v>0</v>
      </c>
      <c r="N41" s="21">
        <v>0</v>
      </c>
      <c r="O41" s="21">
        <v>0</v>
      </c>
      <c r="P41" s="21">
        <v>0</v>
      </c>
    </row>
    <row r="42" spans="1:16" x14ac:dyDescent="0.2">
      <c r="A42" s="70">
        <v>43348</v>
      </c>
      <c r="B42" s="16">
        <v>2</v>
      </c>
      <c r="C42" s="33" t="s">
        <v>32</v>
      </c>
      <c r="D42" s="16">
        <v>6</v>
      </c>
      <c r="E42" s="50" t="s">
        <v>14</v>
      </c>
      <c r="F42" s="16">
        <v>4</v>
      </c>
      <c r="G42" s="16">
        <v>1</v>
      </c>
      <c r="H42" s="56">
        <f t="shared" si="0"/>
        <v>0.25</v>
      </c>
      <c r="I42" s="16">
        <v>3</v>
      </c>
      <c r="J42" s="36">
        <v>0</v>
      </c>
      <c r="K42" s="36">
        <v>0</v>
      </c>
      <c r="L42" s="1">
        <v>0</v>
      </c>
      <c r="M42" s="21">
        <v>0</v>
      </c>
      <c r="N42" s="21">
        <v>0</v>
      </c>
      <c r="O42" s="21">
        <v>0</v>
      </c>
      <c r="P42" s="21">
        <v>0</v>
      </c>
    </row>
    <row r="43" spans="1:16" x14ac:dyDescent="0.2">
      <c r="A43" s="70">
        <v>43353</v>
      </c>
      <c r="B43" s="16">
        <v>3</v>
      </c>
      <c r="C43" s="33" t="s">
        <v>32</v>
      </c>
      <c r="D43" s="16">
        <v>6</v>
      </c>
      <c r="E43" s="50" t="s">
        <v>14</v>
      </c>
      <c r="F43" s="16">
        <v>4</v>
      </c>
      <c r="G43" s="16">
        <v>1</v>
      </c>
      <c r="H43" s="56">
        <f t="shared" si="0"/>
        <v>0.25</v>
      </c>
      <c r="I43" s="16">
        <v>2</v>
      </c>
      <c r="J43" s="36">
        <v>1</v>
      </c>
      <c r="K43" s="36">
        <v>0</v>
      </c>
      <c r="L43" s="1">
        <v>1</v>
      </c>
      <c r="M43" s="21">
        <v>0</v>
      </c>
      <c r="N43" s="21">
        <v>0</v>
      </c>
      <c r="O43" s="21">
        <v>0</v>
      </c>
      <c r="P43" s="21">
        <v>0</v>
      </c>
    </row>
    <row r="44" spans="1:16" x14ac:dyDescent="0.2">
      <c r="A44" s="70">
        <v>43360</v>
      </c>
      <c r="B44" s="16">
        <v>4</v>
      </c>
      <c r="C44" s="33" t="s">
        <v>32</v>
      </c>
      <c r="D44" s="16">
        <v>6</v>
      </c>
      <c r="E44" s="50" t="s">
        <v>14</v>
      </c>
      <c r="F44" s="16">
        <v>4</v>
      </c>
      <c r="G44" s="16">
        <v>1</v>
      </c>
      <c r="H44" s="56">
        <f t="shared" si="0"/>
        <v>0.25</v>
      </c>
      <c r="I44" s="16">
        <v>1</v>
      </c>
      <c r="J44" s="36">
        <v>2</v>
      </c>
      <c r="K44" s="36">
        <v>0</v>
      </c>
      <c r="L44" s="1">
        <v>0</v>
      </c>
      <c r="M44" s="21">
        <v>2</v>
      </c>
      <c r="N44" s="21">
        <v>0</v>
      </c>
      <c r="O44" s="21">
        <v>0</v>
      </c>
      <c r="P44" s="21">
        <v>0</v>
      </c>
    </row>
    <row r="45" spans="1:16" x14ac:dyDescent="0.2">
      <c r="A45" s="70">
        <v>43367</v>
      </c>
      <c r="B45" s="16">
        <v>5</v>
      </c>
      <c r="C45" s="33" t="s">
        <v>32</v>
      </c>
      <c r="D45" s="16">
        <v>6</v>
      </c>
      <c r="E45" s="50" t="s">
        <v>14</v>
      </c>
      <c r="F45" s="16">
        <v>4</v>
      </c>
      <c r="G45" s="16">
        <v>0</v>
      </c>
      <c r="H45" s="56">
        <f t="shared" si="0"/>
        <v>0</v>
      </c>
      <c r="I45" s="16">
        <v>0</v>
      </c>
      <c r="J45" s="36">
        <v>0</v>
      </c>
      <c r="K45" s="36">
        <v>0</v>
      </c>
      <c r="L45" s="1">
        <v>0</v>
      </c>
      <c r="M45" s="21">
        <v>0</v>
      </c>
      <c r="N45" s="21">
        <v>0</v>
      </c>
      <c r="O45" s="21">
        <v>0</v>
      </c>
      <c r="P45" s="21">
        <v>0</v>
      </c>
    </row>
    <row r="46" spans="1:16" x14ac:dyDescent="0.2">
      <c r="A46" s="42">
        <v>43294</v>
      </c>
      <c r="B46" s="1" t="s">
        <v>127</v>
      </c>
      <c r="C46" s="33" t="s">
        <v>33</v>
      </c>
      <c r="D46" s="16">
        <v>7</v>
      </c>
      <c r="E46" s="50" t="s">
        <v>15</v>
      </c>
      <c r="F46" s="16">
        <v>3</v>
      </c>
      <c r="G46" s="33">
        <v>0</v>
      </c>
      <c r="H46" s="51">
        <f t="shared" si="0"/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</row>
    <row r="47" spans="1:16" x14ac:dyDescent="0.2">
      <c r="A47" s="42">
        <v>43306</v>
      </c>
      <c r="B47" s="1" t="s">
        <v>127</v>
      </c>
      <c r="C47" s="33" t="s">
        <v>33</v>
      </c>
      <c r="D47" s="16">
        <v>7</v>
      </c>
      <c r="E47" s="50" t="s">
        <v>15</v>
      </c>
      <c r="F47" s="16">
        <v>3</v>
      </c>
      <c r="G47" s="33">
        <v>0</v>
      </c>
      <c r="H47" s="51">
        <f t="shared" si="0"/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  <c r="P47" s="40">
        <v>0</v>
      </c>
    </row>
    <row r="48" spans="1:16" x14ac:dyDescent="0.2">
      <c r="A48" s="42">
        <v>43313</v>
      </c>
      <c r="B48" s="1" t="s">
        <v>127</v>
      </c>
      <c r="C48" s="33" t="s">
        <v>33</v>
      </c>
      <c r="D48" s="16">
        <v>7</v>
      </c>
      <c r="E48" s="50" t="s">
        <v>15</v>
      </c>
      <c r="F48" s="16">
        <v>3</v>
      </c>
      <c r="G48" s="33">
        <v>0</v>
      </c>
      <c r="H48" s="51">
        <f t="shared" si="0"/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</row>
    <row r="49" spans="1:16" x14ac:dyDescent="0.2">
      <c r="A49" s="42">
        <v>43320</v>
      </c>
      <c r="B49" s="1" t="s">
        <v>127</v>
      </c>
      <c r="C49" s="33" t="s">
        <v>33</v>
      </c>
      <c r="D49" s="16">
        <v>7</v>
      </c>
      <c r="E49" s="50" t="s">
        <v>15</v>
      </c>
      <c r="F49" s="16">
        <v>3</v>
      </c>
      <c r="G49" s="33">
        <v>0</v>
      </c>
      <c r="H49" s="51">
        <f t="shared" si="0"/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</row>
    <row r="50" spans="1:16" x14ac:dyDescent="0.2">
      <c r="A50" s="42">
        <v>43329</v>
      </c>
      <c r="B50" s="1" t="s">
        <v>127</v>
      </c>
      <c r="C50" s="33" t="s">
        <v>33</v>
      </c>
      <c r="D50" s="16">
        <v>7</v>
      </c>
      <c r="E50" s="50" t="s">
        <v>15</v>
      </c>
      <c r="F50" s="16">
        <v>3</v>
      </c>
      <c r="G50" s="33">
        <v>0</v>
      </c>
      <c r="H50" s="51">
        <f t="shared" si="0"/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</row>
    <row r="51" spans="1:16" x14ac:dyDescent="0.2">
      <c r="A51" s="42">
        <v>43341</v>
      </c>
      <c r="B51" s="1">
        <v>1</v>
      </c>
      <c r="C51" s="33" t="s">
        <v>33</v>
      </c>
      <c r="D51" s="16">
        <v>7</v>
      </c>
      <c r="E51" s="50" t="s">
        <v>15</v>
      </c>
      <c r="F51" s="16">
        <v>3</v>
      </c>
      <c r="G51" s="33">
        <v>0</v>
      </c>
      <c r="H51" s="51">
        <f t="shared" si="0"/>
        <v>0</v>
      </c>
      <c r="I51" s="40">
        <v>1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</row>
    <row r="52" spans="1:16" x14ac:dyDescent="0.2">
      <c r="A52" s="42">
        <v>43348</v>
      </c>
      <c r="B52" s="1">
        <v>2</v>
      </c>
      <c r="C52" s="33" t="s">
        <v>33</v>
      </c>
      <c r="D52" s="16">
        <v>7</v>
      </c>
      <c r="E52" s="50" t="s">
        <v>15</v>
      </c>
      <c r="F52" s="16">
        <v>3</v>
      </c>
      <c r="G52" s="33">
        <v>3</v>
      </c>
      <c r="H52" s="51">
        <f t="shared" si="0"/>
        <v>1</v>
      </c>
      <c r="I52" s="40">
        <v>0</v>
      </c>
      <c r="J52" s="40">
        <v>1</v>
      </c>
      <c r="K52" s="40">
        <v>0</v>
      </c>
      <c r="L52" s="40">
        <v>0</v>
      </c>
      <c r="M52" s="40">
        <v>1</v>
      </c>
      <c r="N52" s="40">
        <v>0</v>
      </c>
      <c r="O52" s="40">
        <v>0</v>
      </c>
      <c r="P52" s="40">
        <v>0</v>
      </c>
    </row>
    <row r="53" spans="1:16" x14ac:dyDescent="0.2">
      <c r="A53" s="42">
        <v>43353</v>
      </c>
      <c r="B53" s="1">
        <v>3</v>
      </c>
      <c r="C53" s="33" t="s">
        <v>33</v>
      </c>
      <c r="D53" s="16">
        <v>7</v>
      </c>
      <c r="E53" s="50" t="s">
        <v>15</v>
      </c>
      <c r="F53" s="16">
        <v>3</v>
      </c>
      <c r="G53" s="33">
        <v>1</v>
      </c>
      <c r="H53" s="51">
        <f t="shared" si="0"/>
        <v>0.33333333333333331</v>
      </c>
      <c r="I53" s="40">
        <v>1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s="40">
        <v>0</v>
      </c>
    </row>
    <row r="54" spans="1:16" x14ac:dyDescent="0.2">
      <c r="A54" s="42">
        <v>43362</v>
      </c>
      <c r="B54" s="1">
        <v>4</v>
      </c>
      <c r="C54" s="33" t="s">
        <v>33</v>
      </c>
      <c r="D54" s="16">
        <v>7</v>
      </c>
      <c r="E54" s="50" t="s">
        <v>15</v>
      </c>
      <c r="F54" s="16">
        <v>3</v>
      </c>
      <c r="G54" s="33">
        <v>2</v>
      </c>
      <c r="H54" s="51">
        <f t="shared" si="0"/>
        <v>0.66666666666666663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</row>
    <row r="55" spans="1:16" x14ac:dyDescent="0.2">
      <c r="A55" s="42">
        <v>43266</v>
      </c>
      <c r="B55" s="1" t="s">
        <v>127</v>
      </c>
      <c r="C55" s="33" t="s">
        <v>34</v>
      </c>
      <c r="D55" s="16">
        <v>8</v>
      </c>
      <c r="E55" s="50" t="s">
        <v>16</v>
      </c>
      <c r="F55" s="33">
        <v>3</v>
      </c>
      <c r="G55" s="33">
        <v>0</v>
      </c>
      <c r="H55" s="51">
        <f t="shared" si="0"/>
        <v>0</v>
      </c>
      <c r="I55" s="40">
        <v>29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0">
        <v>0</v>
      </c>
      <c r="P55" s="40">
        <v>0</v>
      </c>
    </row>
    <row r="56" spans="1:16" x14ac:dyDescent="0.2">
      <c r="A56" s="42">
        <v>43284</v>
      </c>
      <c r="B56" s="1" t="s">
        <v>127</v>
      </c>
      <c r="C56" s="33" t="s">
        <v>34</v>
      </c>
      <c r="D56" s="16">
        <v>8</v>
      </c>
      <c r="E56" s="50" t="s">
        <v>16</v>
      </c>
      <c r="F56" s="33">
        <v>3</v>
      </c>
      <c r="G56" s="33">
        <v>0</v>
      </c>
      <c r="H56" s="51">
        <f>G56/F56</f>
        <v>0</v>
      </c>
      <c r="I56" s="40">
        <v>1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1</v>
      </c>
    </row>
    <row r="57" spans="1:16" x14ac:dyDescent="0.2">
      <c r="A57" s="42">
        <v>43294</v>
      </c>
      <c r="B57" s="1" t="s">
        <v>127</v>
      </c>
      <c r="C57" s="33" t="s">
        <v>34</v>
      </c>
      <c r="D57" s="16">
        <v>8</v>
      </c>
      <c r="E57" s="50" t="s">
        <v>16</v>
      </c>
      <c r="F57" s="33">
        <v>3</v>
      </c>
      <c r="G57" s="33">
        <v>0</v>
      </c>
      <c r="H57" s="51">
        <f>G57/F57</f>
        <v>0</v>
      </c>
      <c r="I57" s="40">
        <v>4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0">
        <v>1</v>
      </c>
    </row>
    <row r="58" spans="1:16" x14ac:dyDescent="0.2">
      <c r="A58" s="42">
        <v>43306</v>
      </c>
      <c r="B58" s="1" t="s">
        <v>127</v>
      </c>
      <c r="C58" s="33" t="s">
        <v>34</v>
      </c>
      <c r="D58" s="16">
        <v>8</v>
      </c>
      <c r="E58" s="50" t="s">
        <v>16</v>
      </c>
      <c r="F58" s="33">
        <v>3</v>
      </c>
      <c r="G58" s="33">
        <v>0</v>
      </c>
      <c r="H58" s="51">
        <f t="shared" si="0"/>
        <v>0</v>
      </c>
      <c r="I58" s="40">
        <v>2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</row>
    <row r="59" spans="1:16" x14ac:dyDescent="0.2">
      <c r="A59" s="42">
        <v>43314</v>
      </c>
      <c r="B59" s="1" t="s">
        <v>127</v>
      </c>
      <c r="C59" s="33" t="s">
        <v>34</v>
      </c>
      <c r="D59" s="16">
        <v>8</v>
      </c>
      <c r="E59" s="50" t="s">
        <v>16</v>
      </c>
      <c r="F59" s="33">
        <v>3</v>
      </c>
      <c r="G59" s="33">
        <v>0</v>
      </c>
      <c r="H59" s="51">
        <f t="shared" si="0"/>
        <v>0</v>
      </c>
      <c r="I59" s="40">
        <v>4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</row>
    <row r="60" spans="1:16" x14ac:dyDescent="0.2">
      <c r="A60" s="42">
        <v>43320</v>
      </c>
      <c r="B60" s="1" t="s">
        <v>127</v>
      </c>
      <c r="C60" s="33" t="s">
        <v>34</v>
      </c>
      <c r="D60" s="16">
        <v>8</v>
      </c>
      <c r="E60" s="50" t="s">
        <v>16</v>
      </c>
      <c r="F60" s="33">
        <v>3</v>
      </c>
      <c r="G60" s="33">
        <v>0</v>
      </c>
      <c r="H60" s="51">
        <f t="shared" si="0"/>
        <v>0</v>
      </c>
      <c r="I60" s="40">
        <v>5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</row>
    <row r="61" spans="1:16" x14ac:dyDescent="0.2">
      <c r="A61" s="42">
        <v>43329</v>
      </c>
      <c r="B61" s="1" t="s">
        <v>127</v>
      </c>
      <c r="C61" s="33" t="s">
        <v>34</v>
      </c>
      <c r="D61" s="16">
        <v>8</v>
      </c>
      <c r="E61" s="50" t="s">
        <v>16</v>
      </c>
      <c r="F61" s="33">
        <v>3</v>
      </c>
      <c r="G61" s="33">
        <v>0</v>
      </c>
      <c r="H61" s="51">
        <f>G61/F61</f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</row>
    <row r="62" spans="1:16" x14ac:dyDescent="0.2">
      <c r="A62" s="42">
        <v>43341</v>
      </c>
      <c r="B62" s="1">
        <v>1</v>
      </c>
      <c r="C62" s="33" t="s">
        <v>34</v>
      </c>
      <c r="D62" s="16">
        <v>8</v>
      </c>
      <c r="E62" s="50" t="s">
        <v>16</v>
      </c>
      <c r="F62" s="33">
        <v>3</v>
      </c>
      <c r="G62" s="33">
        <v>8</v>
      </c>
      <c r="H62" s="51">
        <f t="shared" si="0"/>
        <v>2.6666666666666665</v>
      </c>
      <c r="I62" s="40">
        <v>11</v>
      </c>
      <c r="J62" s="40">
        <v>5</v>
      </c>
      <c r="K62" s="40">
        <v>0</v>
      </c>
      <c r="L62" s="40">
        <v>2</v>
      </c>
      <c r="M62" s="40">
        <v>3</v>
      </c>
      <c r="N62" s="40">
        <v>0</v>
      </c>
      <c r="O62" s="40">
        <v>0</v>
      </c>
      <c r="P62" s="40">
        <v>0</v>
      </c>
    </row>
    <row r="63" spans="1:16" x14ac:dyDescent="0.2">
      <c r="A63" s="42">
        <v>43348</v>
      </c>
      <c r="B63" s="1">
        <v>2</v>
      </c>
      <c r="C63" s="33" t="s">
        <v>34</v>
      </c>
      <c r="D63" s="16">
        <v>8</v>
      </c>
      <c r="E63" s="50" t="s">
        <v>16</v>
      </c>
      <c r="F63" s="33">
        <v>3</v>
      </c>
      <c r="G63" s="33">
        <v>3</v>
      </c>
      <c r="H63" s="51">
        <f t="shared" si="0"/>
        <v>1</v>
      </c>
      <c r="I63" s="40">
        <v>6</v>
      </c>
      <c r="J63" s="40">
        <v>6</v>
      </c>
      <c r="K63" s="40">
        <v>0</v>
      </c>
      <c r="L63" s="40">
        <v>3</v>
      </c>
      <c r="M63" s="40">
        <v>3</v>
      </c>
      <c r="N63" s="40">
        <v>0</v>
      </c>
      <c r="O63" s="40">
        <v>0</v>
      </c>
      <c r="P63" s="40">
        <v>1</v>
      </c>
    </row>
    <row r="64" spans="1:16" x14ac:dyDescent="0.2">
      <c r="A64" s="42">
        <v>43353</v>
      </c>
      <c r="B64" s="1">
        <v>3</v>
      </c>
      <c r="C64" s="33" t="s">
        <v>34</v>
      </c>
      <c r="D64" s="16">
        <v>8</v>
      </c>
      <c r="E64" s="50" t="s">
        <v>16</v>
      </c>
      <c r="F64" s="33">
        <v>3</v>
      </c>
      <c r="G64" s="33">
        <v>6</v>
      </c>
      <c r="H64" s="51">
        <f t="shared" si="0"/>
        <v>2</v>
      </c>
      <c r="I64" s="40">
        <v>5</v>
      </c>
      <c r="J64" s="40">
        <v>2</v>
      </c>
      <c r="K64" s="40">
        <v>0</v>
      </c>
      <c r="L64" s="40">
        <v>2</v>
      </c>
      <c r="M64" s="40">
        <v>0</v>
      </c>
      <c r="N64" s="40">
        <v>0</v>
      </c>
      <c r="O64" s="40">
        <v>0</v>
      </c>
      <c r="P64" s="40">
        <v>0</v>
      </c>
    </row>
    <row r="65" spans="1:17" x14ac:dyDescent="0.2">
      <c r="A65" s="42">
        <v>43362</v>
      </c>
      <c r="B65" s="1">
        <v>4</v>
      </c>
      <c r="C65" s="33" t="s">
        <v>34</v>
      </c>
      <c r="D65" s="16">
        <v>8</v>
      </c>
      <c r="E65" s="50" t="s">
        <v>16</v>
      </c>
      <c r="F65" s="33">
        <v>3</v>
      </c>
      <c r="G65" s="33">
        <v>1</v>
      </c>
      <c r="H65" s="51">
        <f t="shared" si="0"/>
        <v>0.33333333333333331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40">
        <v>0</v>
      </c>
      <c r="P65" s="40">
        <v>0</v>
      </c>
    </row>
    <row r="66" spans="1:17" x14ac:dyDescent="0.2">
      <c r="A66" s="42">
        <v>43287</v>
      </c>
      <c r="B66" s="1" t="s">
        <v>127</v>
      </c>
      <c r="C66" s="33" t="s">
        <v>35</v>
      </c>
      <c r="D66" s="16">
        <v>9</v>
      </c>
      <c r="E66" s="50" t="s">
        <v>17</v>
      </c>
      <c r="F66" s="16">
        <v>4</v>
      </c>
      <c r="G66" s="33">
        <v>0</v>
      </c>
      <c r="H66" s="51">
        <f t="shared" si="0"/>
        <v>0</v>
      </c>
      <c r="I66" s="40">
        <v>1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/>
    </row>
    <row r="67" spans="1:17" x14ac:dyDescent="0.2">
      <c r="A67" s="42">
        <v>43301</v>
      </c>
      <c r="B67" s="1" t="s">
        <v>127</v>
      </c>
      <c r="C67" s="33" t="s">
        <v>35</v>
      </c>
      <c r="D67" s="16">
        <v>9</v>
      </c>
      <c r="E67" s="50" t="s">
        <v>17</v>
      </c>
      <c r="F67" s="16">
        <v>4</v>
      </c>
      <c r="G67" s="33">
        <v>0</v>
      </c>
      <c r="H67" s="51">
        <f t="shared" ref="H67:H72" si="1">G67/F67</f>
        <v>0</v>
      </c>
      <c r="I67" s="40">
        <v>1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  <c r="O67" s="40">
        <v>0</v>
      </c>
      <c r="P67" s="40">
        <v>0</v>
      </c>
    </row>
    <row r="68" spans="1:17" x14ac:dyDescent="0.2">
      <c r="A68" s="42">
        <v>43326</v>
      </c>
      <c r="B68" s="1" t="s">
        <v>127</v>
      </c>
      <c r="C68" s="33" t="s">
        <v>35</v>
      </c>
      <c r="D68" s="16">
        <v>9</v>
      </c>
      <c r="E68" s="50" t="s">
        <v>17</v>
      </c>
      <c r="F68" s="16">
        <v>4</v>
      </c>
      <c r="G68" s="33">
        <v>0</v>
      </c>
      <c r="H68" s="51">
        <f t="shared" si="1"/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</row>
    <row r="69" spans="1:17" x14ac:dyDescent="0.2">
      <c r="A69" s="42">
        <v>43342</v>
      </c>
      <c r="B69" s="1">
        <v>1</v>
      </c>
      <c r="C69" s="33" t="s">
        <v>35</v>
      </c>
      <c r="D69" s="16">
        <v>9</v>
      </c>
      <c r="E69" s="50" t="s">
        <v>17</v>
      </c>
      <c r="F69" s="16">
        <v>4</v>
      </c>
      <c r="G69" s="33">
        <v>0</v>
      </c>
      <c r="H69" s="51">
        <f t="shared" si="1"/>
        <v>0</v>
      </c>
      <c r="I69" s="40">
        <v>3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</row>
    <row r="70" spans="1:17" x14ac:dyDescent="0.2">
      <c r="A70" s="42">
        <v>43349</v>
      </c>
      <c r="B70" s="1">
        <v>2</v>
      </c>
      <c r="C70" s="33" t="s">
        <v>35</v>
      </c>
      <c r="D70" s="16">
        <v>9</v>
      </c>
      <c r="E70" s="50" t="s">
        <v>17</v>
      </c>
      <c r="F70" s="16">
        <v>4</v>
      </c>
      <c r="G70" s="33">
        <v>1</v>
      </c>
      <c r="H70" s="51">
        <f t="shared" si="1"/>
        <v>0.25</v>
      </c>
      <c r="I70" s="40">
        <v>0</v>
      </c>
      <c r="J70" s="40">
        <v>1</v>
      </c>
      <c r="K70" s="40">
        <v>0</v>
      </c>
      <c r="L70" s="40">
        <v>0</v>
      </c>
      <c r="M70" s="40">
        <v>1</v>
      </c>
      <c r="N70" s="40">
        <v>0</v>
      </c>
      <c r="O70" s="40">
        <v>0</v>
      </c>
      <c r="P70" s="40">
        <v>0</v>
      </c>
    </row>
    <row r="71" spans="1:17" x14ac:dyDescent="0.2">
      <c r="A71" s="42">
        <v>43355</v>
      </c>
      <c r="B71" s="1">
        <v>3</v>
      </c>
      <c r="C71" s="33" t="s">
        <v>35</v>
      </c>
      <c r="D71" s="16">
        <v>9</v>
      </c>
      <c r="E71" s="50" t="s">
        <v>17</v>
      </c>
      <c r="F71" s="16">
        <v>4</v>
      </c>
      <c r="G71" s="33">
        <v>0</v>
      </c>
      <c r="H71" s="51">
        <f t="shared" si="1"/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0</v>
      </c>
      <c r="P71" s="40">
        <v>0</v>
      </c>
    </row>
    <row r="72" spans="1:17" x14ac:dyDescent="0.2">
      <c r="A72" s="42">
        <v>43363</v>
      </c>
      <c r="B72" s="1">
        <v>4</v>
      </c>
      <c r="C72" s="33" t="s">
        <v>35</v>
      </c>
      <c r="D72" s="16">
        <v>9</v>
      </c>
      <c r="E72" s="50" t="s">
        <v>17</v>
      </c>
      <c r="F72" s="16">
        <v>4</v>
      </c>
      <c r="G72" s="33">
        <v>0</v>
      </c>
      <c r="H72" s="51">
        <f t="shared" si="1"/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</row>
    <row r="73" spans="1:17" x14ac:dyDescent="0.2">
      <c r="A73" s="42">
        <v>43312</v>
      </c>
      <c r="B73" s="1" t="s">
        <v>127</v>
      </c>
      <c r="C73" s="33" t="s">
        <v>36</v>
      </c>
      <c r="D73" s="16">
        <v>10</v>
      </c>
      <c r="E73" s="50" t="s">
        <v>18</v>
      </c>
      <c r="F73" s="46">
        <v>5</v>
      </c>
      <c r="G73" s="33">
        <v>0</v>
      </c>
      <c r="H73" s="51">
        <f t="shared" si="0"/>
        <v>0</v>
      </c>
      <c r="I73" s="40">
        <v>0</v>
      </c>
      <c r="J73" s="40">
        <v>0</v>
      </c>
      <c r="K73" s="40">
        <v>0</v>
      </c>
      <c r="L73" s="40">
        <v>0</v>
      </c>
      <c r="M73" s="40">
        <v>0</v>
      </c>
      <c r="N73" s="40">
        <v>0</v>
      </c>
      <c r="O73" s="40">
        <v>0</v>
      </c>
      <c r="P73" s="40">
        <v>0</v>
      </c>
    </row>
    <row r="74" spans="1:17" x14ac:dyDescent="0.2">
      <c r="A74" s="42">
        <v>43342</v>
      </c>
      <c r="B74" s="1">
        <v>1</v>
      </c>
      <c r="C74" s="33" t="s">
        <v>36</v>
      </c>
      <c r="D74" s="16">
        <v>10</v>
      </c>
      <c r="E74" s="50" t="s">
        <v>18</v>
      </c>
      <c r="F74" s="46">
        <v>5</v>
      </c>
      <c r="G74" s="33">
        <v>5</v>
      </c>
      <c r="H74" s="51">
        <f t="shared" si="0"/>
        <v>1</v>
      </c>
      <c r="I74" s="40">
        <v>7</v>
      </c>
      <c r="J74" s="40">
        <v>1</v>
      </c>
      <c r="K74" s="40">
        <v>0</v>
      </c>
      <c r="L74" s="40">
        <v>0</v>
      </c>
      <c r="M74" s="40">
        <v>1</v>
      </c>
      <c r="N74" s="40">
        <v>0</v>
      </c>
      <c r="O74" s="40">
        <v>0</v>
      </c>
      <c r="P74" s="40">
        <v>0</v>
      </c>
    </row>
    <row r="75" spans="1:17" x14ac:dyDescent="0.2">
      <c r="A75" s="42">
        <v>43349</v>
      </c>
      <c r="B75" s="1">
        <v>2</v>
      </c>
      <c r="C75" s="33" t="s">
        <v>36</v>
      </c>
      <c r="D75" s="16">
        <v>10</v>
      </c>
      <c r="E75" s="50" t="s">
        <v>18</v>
      </c>
      <c r="F75" s="46">
        <v>5</v>
      </c>
      <c r="G75" s="33">
        <v>2</v>
      </c>
      <c r="H75" s="51">
        <f t="shared" si="0"/>
        <v>0.4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</row>
    <row r="76" spans="1:17" x14ac:dyDescent="0.2">
      <c r="A76" s="42">
        <v>43363</v>
      </c>
      <c r="B76" s="1">
        <v>3</v>
      </c>
      <c r="C76" s="33" t="s">
        <v>36</v>
      </c>
      <c r="D76" s="16">
        <v>10</v>
      </c>
      <c r="E76" s="50" t="s">
        <v>18</v>
      </c>
      <c r="F76" s="46">
        <v>5</v>
      </c>
      <c r="G76" s="33">
        <v>2</v>
      </c>
      <c r="H76" s="51">
        <f t="shared" si="0"/>
        <v>0.4</v>
      </c>
      <c r="I76" s="40">
        <v>0</v>
      </c>
      <c r="J76" s="40">
        <v>1</v>
      </c>
      <c r="K76" s="40">
        <v>0</v>
      </c>
      <c r="L76" s="40">
        <v>0</v>
      </c>
      <c r="M76" s="40">
        <v>1</v>
      </c>
      <c r="N76" s="40">
        <v>0</v>
      </c>
      <c r="O76" s="40">
        <v>0</v>
      </c>
      <c r="P76" s="40">
        <v>0</v>
      </c>
    </row>
    <row r="77" spans="1:17" x14ac:dyDescent="0.2">
      <c r="A77" s="42">
        <v>43315</v>
      </c>
      <c r="B77" s="1" t="s">
        <v>127</v>
      </c>
      <c r="C77" s="33" t="s">
        <v>37</v>
      </c>
      <c r="D77" s="16">
        <v>11</v>
      </c>
      <c r="E77" s="50" t="s">
        <v>19</v>
      </c>
      <c r="F77" s="16">
        <v>4</v>
      </c>
      <c r="G77" s="33">
        <v>0</v>
      </c>
      <c r="H77" s="51">
        <f t="shared" si="0"/>
        <v>0</v>
      </c>
      <c r="I77" s="40">
        <v>0</v>
      </c>
      <c r="J77" s="40">
        <v>0</v>
      </c>
      <c r="K77" s="40">
        <v>0</v>
      </c>
      <c r="L77" s="40">
        <v>0</v>
      </c>
      <c r="M77" s="40">
        <v>0</v>
      </c>
      <c r="N77" s="40">
        <v>0</v>
      </c>
      <c r="O77" s="40">
        <v>0</v>
      </c>
      <c r="P77" s="40">
        <v>0</v>
      </c>
    </row>
    <row r="78" spans="1:17" x14ac:dyDescent="0.2">
      <c r="A78" s="42">
        <v>43343</v>
      </c>
      <c r="B78" s="1">
        <v>1</v>
      </c>
      <c r="C78" s="33" t="s">
        <v>37</v>
      </c>
      <c r="D78" s="16">
        <v>11</v>
      </c>
      <c r="E78" s="50" t="s">
        <v>19</v>
      </c>
      <c r="F78" s="16">
        <v>4</v>
      </c>
      <c r="G78" s="33">
        <v>0</v>
      </c>
      <c r="H78" s="51">
        <f t="shared" si="0"/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  <c r="P78" s="40">
        <v>0</v>
      </c>
    </row>
    <row r="79" spans="1:17" x14ac:dyDescent="0.2">
      <c r="A79" s="42">
        <v>43364</v>
      </c>
      <c r="B79" s="1">
        <v>2</v>
      </c>
      <c r="C79" s="33" t="s">
        <v>37</v>
      </c>
      <c r="D79" s="16">
        <v>11</v>
      </c>
      <c r="E79" s="50" t="s">
        <v>19</v>
      </c>
      <c r="F79" s="16">
        <v>4</v>
      </c>
      <c r="G79" s="33">
        <v>0</v>
      </c>
      <c r="H79" s="51">
        <f t="shared" si="0"/>
        <v>0</v>
      </c>
      <c r="I79" s="40">
        <v>0</v>
      </c>
      <c r="J79" s="40">
        <v>0</v>
      </c>
      <c r="K79" s="40">
        <v>0</v>
      </c>
      <c r="L79" s="40">
        <v>0</v>
      </c>
      <c r="M79" s="40">
        <v>0</v>
      </c>
      <c r="N79" s="40">
        <v>0</v>
      </c>
      <c r="O79" s="40">
        <v>0</v>
      </c>
      <c r="P79" s="40">
        <v>0</v>
      </c>
    </row>
    <row r="80" spans="1:17" x14ac:dyDescent="0.2">
      <c r="A80" s="42">
        <v>43342</v>
      </c>
      <c r="B80" s="1">
        <v>1</v>
      </c>
      <c r="C80" s="33" t="s">
        <v>38</v>
      </c>
      <c r="D80" s="16">
        <v>12</v>
      </c>
      <c r="E80" s="50" t="s">
        <v>20</v>
      </c>
      <c r="F80" s="46">
        <v>3</v>
      </c>
      <c r="G80" s="33">
        <v>0</v>
      </c>
      <c r="H80" s="51">
        <f t="shared" si="0"/>
        <v>0</v>
      </c>
      <c r="I80" s="40">
        <v>0</v>
      </c>
      <c r="J80" s="40">
        <v>0</v>
      </c>
      <c r="K80" s="40">
        <v>0</v>
      </c>
      <c r="L80" s="40">
        <v>0</v>
      </c>
      <c r="M80" s="40">
        <v>0</v>
      </c>
      <c r="N80" s="40">
        <v>0</v>
      </c>
      <c r="O80" s="40">
        <v>0</v>
      </c>
      <c r="P80" s="40">
        <v>0</v>
      </c>
    </row>
    <row r="81" spans="1:17" x14ac:dyDescent="0.2">
      <c r="A81" s="42">
        <v>43353</v>
      </c>
      <c r="B81" s="1">
        <v>2</v>
      </c>
      <c r="C81" s="33" t="s">
        <v>38</v>
      </c>
      <c r="D81" s="16">
        <v>12</v>
      </c>
      <c r="E81" s="50" t="s">
        <v>20</v>
      </c>
      <c r="F81" s="46">
        <v>3</v>
      </c>
      <c r="G81" s="33">
        <v>1</v>
      </c>
      <c r="H81" s="51">
        <f t="shared" si="0"/>
        <v>0.33333333333333331</v>
      </c>
      <c r="I81" s="40">
        <v>0</v>
      </c>
      <c r="J81" s="40">
        <v>0</v>
      </c>
      <c r="K81" s="40">
        <v>0</v>
      </c>
      <c r="L81" s="40">
        <v>0</v>
      </c>
      <c r="M81" s="40">
        <v>0</v>
      </c>
      <c r="N81" s="40">
        <v>0</v>
      </c>
      <c r="O81" s="40">
        <v>0</v>
      </c>
      <c r="P81" s="40">
        <v>0</v>
      </c>
    </row>
    <row r="82" spans="1:17" x14ac:dyDescent="0.2">
      <c r="A82" s="42">
        <v>43364</v>
      </c>
      <c r="B82" s="1">
        <v>3</v>
      </c>
      <c r="C82" s="33" t="s">
        <v>38</v>
      </c>
      <c r="D82" s="16">
        <v>12</v>
      </c>
      <c r="E82" s="50" t="s">
        <v>20</v>
      </c>
      <c r="F82" s="46">
        <v>3</v>
      </c>
      <c r="G82" s="33">
        <v>2</v>
      </c>
      <c r="H82" s="51">
        <f t="shared" si="0"/>
        <v>0.66666666666666663</v>
      </c>
      <c r="I82" s="40">
        <v>0</v>
      </c>
      <c r="J82" s="40">
        <v>0</v>
      </c>
      <c r="K82" s="40">
        <v>0</v>
      </c>
      <c r="L82" s="40">
        <v>0</v>
      </c>
      <c r="M82" s="40">
        <v>0</v>
      </c>
      <c r="N82" s="40">
        <v>0</v>
      </c>
      <c r="O82" s="40">
        <v>0</v>
      </c>
      <c r="P82" s="40">
        <v>0</v>
      </c>
    </row>
    <row r="83" spans="1:17" x14ac:dyDescent="0.2">
      <c r="A83" s="42">
        <v>43368</v>
      </c>
      <c r="B83" s="1">
        <v>1</v>
      </c>
      <c r="C83" s="33" t="s">
        <v>124</v>
      </c>
      <c r="D83" s="16">
        <v>13</v>
      </c>
      <c r="E83" s="50" t="s">
        <v>21</v>
      </c>
      <c r="F83" s="16">
        <v>3</v>
      </c>
      <c r="G83" s="33">
        <v>0</v>
      </c>
      <c r="H83" s="51">
        <f t="shared" si="0"/>
        <v>0</v>
      </c>
      <c r="I83" s="40">
        <v>0</v>
      </c>
      <c r="J83" s="40">
        <v>0</v>
      </c>
      <c r="K83" s="40">
        <v>0</v>
      </c>
      <c r="L83" s="40">
        <v>0</v>
      </c>
      <c r="M83" s="40">
        <v>0</v>
      </c>
      <c r="N83" s="40">
        <v>0</v>
      </c>
      <c r="O83" s="40">
        <v>0</v>
      </c>
      <c r="P83" s="40">
        <v>0</v>
      </c>
    </row>
    <row r="84" spans="1:17" x14ac:dyDescent="0.2">
      <c r="A84" s="42">
        <v>43374</v>
      </c>
      <c r="B84" s="1">
        <v>2</v>
      </c>
      <c r="C84" s="33" t="s">
        <v>124</v>
      </c>
      <c r="D84" s="16">
        <v>13</v>
      </c>
      <c r="E84" s="50" t="s">
        <v>21</v>
      </c>
      <c r="F84" s="16">
        <v>3</v>
      </c>
      <c r="G84" s="33">
        <v>0</v>
      </c>
      <c r="H84" s="51">
        <f t="shared" si="0"/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  <c r="P84" s="40">
        <v>0</v>
      </c>
    </row>
    <row r="85" spans="1:17" x14ac:dyDescent="0.2">
      <c r="A85" s="42">
        <v>43368</v>
      </c>
      <c r="B85" s="1">
        <v>1</v>
      </c>
      <c r="C85" s="33" t="s">
        <v>123</v>
      </c>
      <c r="D85" s="16">
        <v>14</v>
      </c>
      <c r="E85" s="50" t="s">
        <v>22</v>
      </c>
      <c r="F85" s="16">
        <v>3</v>
      </c>
      <c r="G85" s="33">
        <v>0</v>
      </c>
      <c r="H85" s="51">
        <f t="shared" si="0"/>
        <v>0</v>
      </c>
      <c r="I85" s="40">
        <v>0</v>
      </c>
      <c r="J85" s="40">
        <v>0</v>
      </c>
      <c r="K85" s="40">
        <v>0</v>
      </c>
      <c r="L85" s="40">
        <v>0</v>
      </c>
      <c r="M85" s="40">
        <v>0</v>
      </c>
      <c r="N85" s="40">
        <v>0</v>
      </c>
      <c r="O85" s="40">
        <v>0</v>
      </c>
      <c r="P85" s="40">
        <v>0</v>
      </c>
    </row>
    <row r="86" spans="1:17" x14ac:dyDescent="0.2">
      <c r="A86" s="42">
        <v>43374</v>
      </c>
      <c r="B86" s="1">
        <v>2</v>
      </c>
      <c r="C86" s="33" t="s">
        <v>123</v>
      </c>
      <c r="D86" s="16">
        <v>14</v>
      </c>
      <c r="E86" s="50" t="s">
        <v>22</v>
      </c>
      <c r="F86" s="16">
        <v>3</v>
      </c>
      <c r="G86" s="33">
        <v>0</v>
      </c>
      <c r="H86" s="51">
        <f t="shared" si="0"/>
        <v>0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0">
        <v>0</v>
      </c>
    </row>
    <row r="87" spans="1:17" x14ac:dyDescent="0.2">
      <c r="A87" s="42">
        <v>43368</v>
      </c>
      <c r="B87" s="40">
        <v>1</v>
      </c>
      <c r="C87" s="33" t="s">
        <v>40</v>
      </c>
      <c r="D87" s="16">
        <v>15</v>
      </c>
      <c r="E87" s="50" t="s">
        <v>125</v>
      </c>
      <c r="F87" s="16">
        <v>6</v>
      </c>
      <c r="G87" s="33">
        <v>0</v>
      </c>
      <c r="H87" s="51">
        <f t="shared" si="0"/>
        <v>0</v>
      </c>
      <c r="I87" s="40">
        <v>0</v>
      </c>
      <c r="J87" s="40">
        <v>0</v>
      </c>
      <c r="K87" s="40">
        <v>0</v>
      </c>
      <c r="L87" s="40">
        <v>0</v>
      </c>
      <c r="M87" s="40">
        <v>0</v>
      </c>
      <c r="N87" s="40">
        <v>0</v>
      </c>
      <c r="O87" s="40">
        <v>0</v>
      </c>
      <c r="P87" s="40">
        <v>0</v>
      </c>
    </row>
    <row r="88" spans="1:17" x14ac:dyDescent="0.2">
      <c r="A88" s="42">
        <v>43369</v>
      </c>
      <c r="B88" s="40">
        <v>1</v>
      </c>
      <c r="C88" s="33" t="s">
        <v>129</v>
      </c>
      <c r="D88" s="33">
        <v>16</v>
      </c>
      <c r="E88" s="50" t="s">
        <v>128</v>
      </c>
      <c r="F88" s="1">
        <v>6</v>
      </c>
      <c r="G88" s="33">
        <v>0</v>
      </c>
      <c r="H88" s="51">
        <f t="shared" si="0"/>
        <v>0</v>
      </c>
      <c r="I88" s="40">
        <v>0</v>
      </c>
      <c r="J88" s="40">
        <v>0</v>
      </c>
      <c r="K88" s="40">
        <v>0</v>
      </c>
      <c r="L88" s="40">
        <v>0</v>
      </c>
      <c r="M88" s="40">
        <v>0</v>
      </c>
      <c r="N88" s="40">
        <v>0</v>
      </c>
      <c r="O88" s="40">
        <v>0</v>
      </c>
      <c r="P88" s="40">
        <v>0</v>
      </c>
    </row>
    <row r="89" spans="1:17" x14ac:dyDescent="0.2">
      <c r="A89" s="42">
        <v>43369</v>
      </c>
      <c r="B89" s="40">
        <v>1</v>
      </c>
      <c r="C89" s="16" t="s">
        <v>131</v>
      </c>
      <c r="D89" s="16">
        <v>17</v>
      </c>
      <c r="E89" s="50" t="s">
        <v>130</v>
      </c>
      <c r="F89" s="1">
        <v>2</v>
      </c>
      <c r="G89" s="33">
        <v>0</v>
      </c>
      <c r="H89" s="51">
        <f t="shared" si="0"/>
        <v>0</v>
      </c>
      <c r="I89" s="40">
        <v>0</v>
      </c>
      <c r="J89" s="40">
        <v>0</v>
      </c>
      <c r="K89" s="40">
        <v>0</v>
      </c>
      <c r="L89" s="40">
        <v>0</v>
      </c>
      <c r="M89" s="40">
        <v>0</v>
      </c>
      <c r="N89" s="40">
        <v>0</v>
      </c>
      <c r="O89" s="40">
        <v>0</v>
      </c>
      <c r="P89" s="40">
        <v>0</v>
      </c>
    </row>
    <row r="90" spans="1:17" x14ac:dyDescent="0.2">
      <c r="A90" s="42">
        <v>43369</v>
      </c>
      <c r="B90" s="40">
        <v>1</v>
      </c>
      <c r="C90" s="16" t="s">
        <v>133</v>
      </c>
      <c r="D90" s="16">
        <v>18</v>
      </c>
      <c r="E90" s="50" t="s">
        <v>132</v>
      </c>
      <c r="F90" s="1">
        <v>3</v>
      </c>
      <c r="G90" s="33">
        <v>1</v>
      </c>
      <c r="H90" s="51">
        <f t="shared" si="0"/>
        <v>0.33333333333333331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  <c r="N90" s="40">
        <v>0</v>
      </c>
      <c r="O90" s="40">
        <v>0</v>
      </c>
      <c r="P90" s="40">
        <v>0</v>
      </c>
    </row>
    <row r="91" spans="1:17" x14ac:dyDescent="0.2">
      <c r="A91" s="42">
        <v>43370</v>
      </c>
      <c r="B91" s="40">
        <v>1</v>
      </c>
      <c r="C91" s="16" t="s">
        <v>143</v>
      </c>
      <c r="D91" s="16">
        <v>19</v>
      </c>
      <c r="E91" s="50" t="s">
        <v>141</v>
      </c>
      <c r="F91" s="1">
        <v>4</v>
      </c>
      <c r="G91" s="33">
        <v>0</v>
      </c>
      <c r="H91" s="51">
        <f t="shared" si="0"/>
        <v>0</v>
      </c>
      <c r="I91" s="40">
        <v>0</v>
      </c>
      <c r="J91" s="40">
        <v>0</v>
      </c>
      <c r="K91" s="40">
        <v>0</v>
      </c>
      <c r="L91" s="40">
        <v>0</v>
      </c>
      <c r="M91" s="40">
        <v>0</v>
      </c>
      <c r="N91" s="40">
        <v>0</v>
      </c>
      <c r="O91" s="40">
        <v>0</v>
      </c>
      <c r="P91" s="40">
        <v>0</v>
      </c>
      <c r="Q91" s="40"/>
    </row>
    <row r="92" spans="1:17" x14ac:dyDescent="0.2">
      <c r="A92" s="42">
        <v>43370</v>
      </c>
      <c r="B92" s="40">
        <v>1</v>
      </c>
      <c r="C92" s="16" t="s">
        <v>144</v>
      </c>
      <c r="D92" s="16">
        <v>20</v>
      </c>
      <c r="E92" s="50" t="s">
        <v>142</v>
      </c>
      <c r="F92" s="1">
        <v>4</v>
      </c>
      <c r="G92" s="33">
        <v>0</v>
      </c>
      <c r="H92" s="51">
        <f t="shared" si="0"/>
        <v>0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  <c r="N92" s="40">
        <v>0</v>
      </c>
      <c r="O92" s="40">
        <v>0</v>
      </c>
      <c r="P92" s="40">
        <v>0</v>
      </c>
    </row>
    <row r="93" spans="1:17" x14ac:dyDescent="0.2">
      <c r="A93" s="42">
        <v>43371</v>
      </c>
      <c r="B93" s="40">
        <v>1</v>
      </c>
      <c r="C93" s="16" t="s">
        <v>136</v>
      </c>
      <c r="D93" s="16">
        <v>21</v>
      </c>
      <c r="E93" s="50" t="s">
        <v>134</v>
      </c>
      <c r="F93" s="1">
        <v>3</v>
      </c>
      <c r="G93" s="33">
        <v>0</v>
      </c>
      <c r="H93" s="51">
        <f t="shared" si="0"/>
        <v>0</v>
      </c>
      <c r="I93" s="40">
        <v>0</v>
      </c>
      <c r="J93" s="40">
        <v>0</v>
      </c>
      <c r="K93" s="40">
        <v>0</v>
      </c>
      <c r="L93" s="40">
        <v>0</v>
      </c>
      <c r="M93" s="40">
        <v>0</v>
      </c>
      <c r="N93" s="40">
        <v>0</v>
      </c>
      <c r="O93" s="40">
        <v>0</v>
      </c>
      <c r="P93" s="40">
        <v>0</v>
      </c>
    </row>
    <row r="94" spans="1:17" ht="13.5" thickBot="1" x14ac:dyDescent="0.25">
      <c r="A94" s="42">
        <v>43371</v>
      </c>
      <c r="B94" s="40">
        <v>1</v>
      </c>
      <c r="C94" s="16" t="s">
        <v>137</v>
      </c>
      <c r="D94" s="16">
        <v>22</v>
      </c>
      <c r="E94" s="50" t="s">
        <v>135</v>
      </c>
      <c r="F94" s="4">
        <v>4</v>
      </c>
      <c r="G94" s="59">
        <v>0</v>
      </c>
      <c r="H94" s="60">
        <f t="shared" si="0"/>
        <v>0</v>
      </c>
      <c r="I94" s="61">
        <v>0</v>
      </c>
      <c r="J94" s="61">
        <v>0</v>
      </c>
      <c r="K94" s="61">
        <v>0</v>
      </c>
      <c r="L94" s="61">
        <v>0</v>
      </c>
      <c r="M94" s="61">
        <v>0</v>
      </c>
      <c r="N94" s="61">
        <v>0</v>
      </c>
      <c r="O94" s="61">
        <v>0</v>
      </c>
      <c r="P94" s="61">
        <v>0</v>
      </c>
    </row>
    <row r="95" spans="1:17" x14ac:dyDescent="0.2">
      <c r="A95" s="42"/>
      <c r="F95" s="2">
        <f>SUM(F4:F94)</f>
        <v>319</v>
      </c>
      <c r="G95" s="2">
        <f>SUM(G4:G94)</f>
        <v>109</v>
      </c>
      <c r="H95" s="63">
        <f>G95/F95</f>
        <v>0.34169278996865204</v>
      </c>
      <c r="I95" s="2">
        <f t="shared" ref="I95:P95" si="2">SUM(I4:I94)</f>
        <v>172</v>
      </c>
      <c r="J95" s="2">
        <f t="shared" si="2"/>
        <v>58</v>
      </c>
      <c r="K95" s="2">
        <f t="shared" si="2"/>
        <v>9</v>
      </c>
      <c r="L95" s="2">
        <f t="shared" si="2"/>
        <v>22</v>
      </c>
      <c r="M95" s="2">
        <f t="shared" si="2"/>
        <v>36</v>
      </c>
      <c r="N95" s="2">
        <f t="shared" si="2"/>
        <v>3</v>
      </c>
      <c r="O95" s="2">
        <f t="shared" si="2"/>
        <v>6</v>
      </c>
      <c r="P95" s="2">
        <f t="shared" si="2"/>
        <v>7</v>
      </c>
    </row>
    <row r="96" spans="1:17" x14ac:dyDescent="0.2">
      <c r="A96" s="42"/>
      <c r="H96" s="1"/>
    </row>
    <row r="97" spans="1:8" x14ac:dyDescent="0.2">
      <c r="A97" s="42"/>
      <c r="H97" s="1"/>
    </row>
    <row r="98" spans="1:8" x14ac:dyDescent="0.2">
      <c r="A98" s="42"/>
      <c r="H98" s="1"/>
    </row>
    <row r="99" spans="1:8" x14ac:dyDescent="0.2">
      <c r="A99" s="42"/>
      <c r="H99" s="1"/>
    </row>
    <row r="100" spans="1:8" x14ac:dyDescent="0.2">
      <c r="A100" s="42"/>
      <c r="H100" s="1"/>
    </row>
    <row r="101" spans="1:8" x14ac:dyDescent="0.2">
      <c r="A101" s="42"/>
      <c r="H101" s="1"/>
    </row>
    <row r="102" spans="1:8" x14ac:dyDescent="0.2">
      <c r="A102" s="42"/>
      <c r="H102" s="1"/>
    </row>
    <row r="103" spans="1:8" x14ac:dyDescent="0.2">
      <c r="A103" s="42"/>
      <c r="H103" s="1"/>
    </row>
    <row r="104" spans="1:8" x14ac:dyDescent="0.2">
      <c r="A104" s="42"/>
      <c r="H104" s="1"/>
    </row>
    <row r="105" spans="1:8" x14ac:dyDescent="0.2">
      <c r="A105" s="42"/>
      <c r="H105" s="1"/>
    </row>
    <row r="106" spans="1:8" x14ac:dyDescent="0.2">
      <c r="A106" s="42"/>
      <c r="H106" s="1"/>
    </row>
    <row r="107" spans="1:8" x14ac:dyDescent="0.2">
      <c r="A107" s="42"/>
      <c r="H107" s="1"/>
    </row>
    <row r="108" spans="1:8" x14ac:dyDescent="0.2">
      <c r="A108" s="42"/>
      <c r="H108" s="1"/>
    </row>
    <row r="109" spans="1:8" x14ac:dyDescent="0.2">
      <c r="A109" s="42"/>
      <c r="H109" s="1"/>
    </row>
    <row r="110" spans="1:8" x14ac:dyDescent="0.2">
      <c r="A110" s="42"/>
      <c r="H110" s="1"/>
    </row>
    <row r="111" spans="1:8" x14ac:dyDescent="0.2">
      <c r="A111" s="42"/>
      <c r="H111" s="1"/>
    </row>
    <row r="112" spans="1:8" x14ac:dyDescent="0.2">
      <c r="A112" s="42"/>
      <c r="H112" s="1"/>
    </row>
    <row r="113" spans="1:8" x14ac:dyDescent="0.2">
      <c r="A113" s="42"/>
      <c r="H113" s="1"/>
    </row>
    <row r="114" spans="1:8" x14ac:dyDescent="0.2">
      <c r="A114" s="42"/>
      <c r="H114" s="1"/>
    </row>
    <row r="115" spans="1:8" x14ac:dyDescent="0.2">
      <c r="A115" s="42"/>
      <c r="H115" s="1"/>
    </row>
    <row r="116" spans="1:8" x14ac:dyDescent="0.2">
      <c r="A116" s="42"/>
      <c r="H116" s="1"/>
    </row>
    <row r="117" spans="1:8" x14ac:dyDescent="0.2">
      <c r="A117" s="42"/>
      <c r="H117" s="1"/>
    </row>
    <row r="118" spans="1:8" x14ac:dyDescent="0.2">
      <c r="A118" s="42"/>
      <c r="H118" s="1"/>
    </row>
    <row r="119" spans="1:8" x14ac:dyDescent="0.2">
      <c r="A119" s="42"/>
      <c r="H119" s="1"/>
    </row>
    <row r="120" spans="1:8" x14ac:dyDescent="0.2">
      <c r="A120" s="42"/>
      <c r="H120" s="1"/>
    </row>
    <row r="121" spans="1:8" x14ac:dyDescent="0.2">
      <c r="A121" s="42"/>
      <c r="H121" s="1"/>
    </row>
    <row r="122" spans="1:8" x14ac:dyDescent="0.2">
      <c r="A122" s="42"/>
      <c r="H122" s="1"/>
    </row>
    <row r="123" spans="1:8" x14ac:dyDescent="0.2">
      <c r="A123" s="42"/>
      <c r="H123" s="1"/>
    </row>
    <row r="124" spans="1:8" x14ac:dyDescent="0.2">
      <c r="A124" s="42"/>
      <c r="H124" s="1"/>
    </row>
    <row r="125" spans="1:8" x14ac:dyDescent="0.2">
      <c r="A125" s="42"/>
      <c r="H125" s="1"/>
    </row>
    <row r="126" spans="1:8" x14ac:dyDescent="0.2">
      <c r="A126" s="42"/>
      <c r="H126" s="1"/>
    </row>
    <row r="127" spans="1:8" x14ac:dyDescent="0.2">
      <c r="A127" s="42"/>
      <c r="H127" s="1"/>
    </row>
    <row r="128" spans="1:8" x14ac:dyDescent="0.2">
      <c r="A128" s="42"/>
      <c r="H128" s="1"/>
    </row>
    <row r="129" spans="1:8" x14ac:dyDescent="0.2">
      <c r="A129" s="42"/>
      <c r="H129" s="1"/>
    </row>
    <row r="130" spans="1:8" x14ac:dyDescent="0.2">
      <c r="A130" s="42"/>
      <c r="H130" s="1"/>
    </row>
    <row r="131" spans="1:8" x14ac:dyDescent="0.2">
      <c r="A131" s="42"/>
      <c r="H131" s="1"/>
    </row>
    <row r="132" spans="1:8" x14ac:dyDescent="0.2">
      <c r="A132" s="42"/>
      <c r="H132" s="1"/>
    </row>
    <row r="133" spans="1:8" x14ac:dyDescent="0.2">
      <c r="A133" s="42"/>
      <c r="H133" s="1"/>
    </row>
    <row r="134" spans="1:8" x14ac:dyDescent="0.2">
      <c r="A134" s="42"/>
      <c r="H134" s="1"/>
    </row>
    <row r="135" spans="1:8" x14ac:dyDescent="0.2">
      <c r="A135" s="42"/>
      <c r="H135" s="1"/>
    </row>
    <row r="136" spans="1:8" x14ac:dyDescent="0.2">
      <c r="A136" s="42"/>
      <c r="H136" s="1"/>
    </row>
    <row r="137" spans="1:8" x14ac:dyDescent="0.2">
      <c r="A137" s="42"/>
      <c r="H137" s="1"/>
    </row>
    <row r="138" spans="1:8" x14ac:dyDescent="0.2">
      <c r="A138" s="42"/>
      <c r="H138" s="1"/>
    </row>
    <row r="139" spans="1:8" x14ac:dyDescent="0.2">
      <c r="A139" s="42"/>
      <c r="H139" s="1"/>
    </row>
    <row r="140" spans="1:8" x14ac:dyDescent="0.2">
      <c r="A140" s="42"/>
      <c r="H140" s="1"/>
    </row>
    <row r="141" spans="1:8" x14ac:dyDescent="0.2">
      <c r="A141" s="42"/>
      <c r="H141" s="1"/>
    </row>
    <row r="142" spans="1:8" x14ac:dyDescent="0.2">
      <c r="A142" s="42"/>
      <c r="H142" s="1"/>
    </row>
    <row r="143" spans="1:8" x14ac:dyDescent="0.2">
      <c r="A143" s="42"/>
      <c r="H143" s="1"/>
    </row>
    <row r="144" spans="1:8" x14ac:dyDescent="0.2">
      <c r="A144" s="42"/>
      <c r="H144" s="1"/>
    </row>
    <row r="145" spans="1:8" x14ac:dyDescent="0.2">
      <c r="A145" s="42"/>
      <c r="H145" s="1"/>
    </row>
    <row r="146" spans="1:8" x14ac:dyDescent="0.2">
      <c r="A146" s="42"/>
      <c r="H146" s="1"/>
    </row>
    <row r="147" spans="1:8" x14ac:dyDescent="0.2">
      <c r="A147" s="42"/>
      <c r="H147" s="1"/>
    </row>
    <row r="148" spans="1:8" x14ac:dyDescent="0.2">
      <c r="A148" s="42"/>
      <c r="H148" s="1"/>
    </row>
    <row r="149" spans="1:8" x14ac:dyDescent="0.2">
      <c r="A149" s="42"/>
      <c r="H149" s="1"/>
    </row>
    <row r="150" spans="1:8" x14ac:dyDescent="0.2">
      <c r="A150" s="42"/>
      <c r="H150" s="1"/>
    </row>
    <row r="151" spans="1:8" x14ac:dyDescent="0.2">
      <c r="A151" s="42"/>
      <c r="H151" s="1"/>
    </row>
    <row r="152" spans="1:8" x14ac:dyDescent="0.2">
      <c r="A152" s="42"/>
      <c r="H152" s="1"/>
    </row>
    <row r="153" spans="1:8" x14ac:dyDescent="0.2">
      <c r="A153" s="42"/>
      <c r="H153" s="1"/>
    </row>
    <row r="154" spans="1:8" x14ac:dyDescent="0.2">
      <c r="A154" s="42"/>
      <c r="H154" s="1"/>
    </row>
    <row r="155" spans="1:8" x14ac:dyDescent="0.2">
      <c r="A155" s="42"/>
      <c r="H155" s="1"/>
    </row>
    <row r="156" spans="1:8" x14ac:dyDescent="0.2">
      <c r="A156" s="42"/>
      <c r="H156" s="1"/>
    </row>
  </sheetData>
  <pageMargins left="0.7" right="0.7" top="0.75" bottom="0.75" header="0.3" footer="0.3"/>
  <pageSetup orientation="portrait" r:id="rId1"/>
  <ignoredErrors>
    <ignoredError sqref="H95" 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17"/>
  <sheetViews>
    <sheetView workbookViewId="0">
      <pane ySplit="3" topLeftCell="A16" activePane="bottomLeft" state="frozen"/>
      <selection pane="bottomLeft" activeCell="G46" sqref="G46:G54"/>
    </sheetView>
  </sheetViews>
  <sheetFormatPr defaultRowHeight="12.75" x14ac:dyDescent="0.2"/>
  <cols>
    <col min="1" max="1" width="10.42578125" customWidth="1"/>
    <col min="5" max="5" width="38.28515625" customWidth="1"/>
    <col min="16" max="16" width="17.42578125" customWidth="1"/>
  </cols>
  <sheetData>
    <row r="1" spans="1:16" x14ac:dyDescent="0.2">
      <c r="A1" s="2"/>
      <c r="B1" s="2"/>
      <c r="C1" s="2"/>
      <c r="D1" s="2"/>
      <c r="E1" s="2"/>
      <c r="I1" s="3" t="s">
        <v>24</v>
      </c>
      <c r="J1" s="3"/>
      <c r="K1" s="3"/>
    </row>
    <row r="2" spans="1:16" x14ac:dyDescent="0.2">
      <c r="D2" s="2" t="s">
        <v>113</v>
      </c>
      <c r="F2" s="2" t="s">
        <v>4</v>
      </c>
      <c r="G2" s="2" t="s">
        <v>140</v>
      </c>
      <c r="H2" s="2" t="s">
        <v>3</v>
      </c>
      <c r="J2" s="2" t="s">
        <v>8</v>
      </c>
      <c r="K2" s="2"/>
      <c r="P2" s="21" t="s">
        <v>154</v>
      </c>
    </row>
    <row r="3" spans="1:16" ht="13.5" thickBot="1" x14ac:dyDescent="0.25">
      <c r="A3" s="2" t="s">
        <v>0</v>
      </c>
      <c r="B3" s="2" t="s">
        <v>1</v>
      </c>
      <c r="C3" s="2" t="s">
        <v>108</v>
      </c>
      <c r="D3" s="2" t="s">
        <v>114</v>
      </c>
      <c r="E3" s="2" t="s">
        <v>2</v>
      </c>
      <c r="F3" s="2" t="s">
        <v>26</v>
      </c>
      <c r="G3" s="2" t="s">
        <v>3</v>
      </c>
      <c r="H3" s="2" t="s">
        <v>73</v>
      </c>
      <c r="I3" s="2" t="s">
        <v>5</v>
      </c>
      <c r="J3" s="4" t="s">
        <v>6</v>
      </c>
      <c r="K3" s="4" t="s">
        <v>7</v>
      </c>
      <c r="L3" s="1" t="s">
        <v>109</v>
      </c>
      <c r="M3" s="21" t="s">
        <v>110</v>
      </c>
      <c r="N3" s="21" t="s">
        <v>111</v>
      </c>
      <c r="O3" s="21" t="s">
        <v>112</v>
      </c>
      <c r="P3" s="21" t="s">
        <v>155</v>
      </c>
    </row>
    <row r="4" spans="1:16" x14ac:dyDescent="0.2">
      <c r="A4" s="42">
        <v>42989</v>
      </c>
      <c r="B4" s="1">
        <v>1</v>
      </c>
      <c r="C4" s="33" t="s">
        <v>27</v>
      </c>
      <c r="D4" s="16">
        <v>1</v>
      </c>
      <c r="E4" s="50" t="s">
        <v>9</v>
      </c>
      <c r="F4" s="16">
        <v>6</v>
      </c>
      <c r="G4" s="16">
        <v>0</v>
      </c>
      <c r="H4" s="56">
        <f t="shared" ref="H4:H11" si="0">G4/F4</f>
        <v>0</v>
      </c>
      <c r="I4" s="16">
        <v>0</v>
      </c>
      <c r="J4" s="36">
        <v>0</v>
      </c>
      <c r="K4" s="36">
        <v>0</v>
      </c>
      <c r="L4" s="1">
        <v>0</v>
      </c>
      <c r="M4" s="21">
        <v>0</v>
      </c>
      <c r="N4" s="21">
        <v>0</v>
      </c>
      <c r="O4" s="21">
        <v>0</v>
      </c>
      <c r="P4" s="21">
        <v>0</v>
      </c>
    </row>
    <row r="5" spans="1:16" x14ac:dyDescent="0.2">
      <c r="A5" s="42">
        <v>42984</v>
      </c>
      <c r="B5" s="1">
        <v>1</v>
      </c>
      <c r="C5" s="33" t="s">
        <v>28</v>
      </c>
      <c r="D5" s="16">
        <v>2</v>
      </c>
      <c r="E5" s="50" t="s">
        <v>10</v>
      </c>
      <c r="F5" s="16">
        <v>3</v>
      </c>
      <c r="G5" s="16">
        <v>2</v>
      </c>
      <c r="H5" s="56">
        <f t="shared" si="0"/>
        <v>0.66666666666666663</v>
      </c>
      <c r="I5" s="16">
        <v>12</v>
      </c>
      <c r="J5" s="36">
        <v>0</v>
      </c>
      <c r="K5" s="36">
        <v>0</v>
      </c>
      <c r="L5" s="1">
        <v>0</v>
      </c>
      <c r="M5" s="21">
        <v>0</v>
      </c>
      <c r="N5" s="21">
        <v>0</v>
      </c>
      <c r="O5" s="21">
        <v>0</v>
      </c>
      <c r="P5" s="21">
        <v>0</v>
      </c>
    </row>
    <row r="6" spans="1:16" x14ac:dyDescent="0.2">
      <c r="A6" s="42">
        <v>42991</v>
      </c>
      <c r="B6" s="1">
        <v>2</v>
      </c>
      <c r="C6" s="33" t="s">
        <v>28</v>
      </c>
      <c r="D6" s="16">
        <v>2</v>
      </c>
      <c r="E6" s="50" t="s">
        <v>10</v>
      </c>
      <c r="F6" s="16">
        <v>3</v>
      </c>
      <c r="G6" s="16">
        <v>6</v>
      </c>
      <c r="H6" s="56">
        <f t="shared" si="0"/>
        <v>2</v>
      </c>
      <c r="I6" s="16">
        <v>3</v>
      </c>
      <c r="J6" s="36">
        <v>0</v>
      </c>
      <c r="K6" s="36">
        <v>0</v>
      </c>
      <c r="L6" s="1">
        <v>0</v>
      </c>
      <c r="M6" s="21">
        <v>0</v>
      </c>
      <c r="N6" s="21">
        <v>0</v>
      </c>
      <c r="O6" s="21">
        <v>0</v>
      </c>
      <c r="P6" s="21">
        <v>0</v>
      </c>
    </row>
    <row r="7" spans="1:16" x14ac:dyDescent="0.2">
      <c r="A7" s="42">
        <v>43003</v>
      </c>
      <c r="B7" s="1">
        <v>3</v>
      </c>
      <c r="C7" s="33" t="s">
        <v>28</v>
      </c>
      <c r="D7" s="16">
        <v>2</v>
      </c>
      <c r="E7" s="50" t="s">
        <v>10</v>
      </c>
      <c r="F7" s="16">
        <v>3</v>
      </c>
      <c r="G7" s="16">
        <v>0</v>
      </c>
      <c r="H7" s="56">
        <f t="shared" si="0"/>
        <v>0</v>
      </c>
      <c r="I7" s="16">
        <v>0</v>
      </c>
      <c r="J7" s="36">
        <v>0</v>
      </c>
      <c r="K7" s="36">
        <v>0</v>
      </c>
      <c r="L7" s="1">
        <v>0</v>
      </c>
      <c r="M7" s="21">
        <v>0</v>
      </c>
      <c r="N7" s="21">
        <v>0</v>
      </c>
      <c r="O7" s="21">
        <v>0</v>
      </c>
      <c r="P7" s="21">
        <v>0</v>
      </c>
    </row>
    <row r="8" spans="1:16" x14ac:dyDescent="0.2">
      <c r="A8" s="42">
        <v>42990</v>
      </c>
      <c r="B8" s="1">
        <v>1</v>
      </c>
      <c r="C8" s="33" t="s">
        <v>29</v>
      </c>
      <c r="D8" s="16">
        <v>3</v>
      </c>
      <c r="E8" s="50" t="s">
        <v>11</v>
      </c>
      <c r="F8" s="16">
        <v>2</v>
      </c>
      <c r="G8" s="16">
        <v>5</v>
      </c>
      <c r="H8" s="56">
        <f t="shared" si="0"/>
        <v>2.5</v>
      </c>
      <c r="I8" s="16">
        <v>6</v>
      </c>
      <c r="J8" s="36">
        <v>3</v>
      </c>
      <c r="K8" s="36">
        <v>0</v>
      </c>
      <c r="L8" s="1">
        <v>1</v>
      </c>
      <c r="M8" s="21">
        <v>2</v>
      </c>
      <c r="N8" s="21">
        <v>0</v>
      </c>
      <c r="O8" s="21">
        <v>0</v>
      </c>
      <c r="P8" s="21">
        <v>0</v>
      </c>
    </row>
    <row r="9" spans="1:16" x14ac:dyDescent="0.2">
      <c r="A9" s="42">
        <v>42998</v>
      </c>
      <c r="B9" s="1">
        <v>2</v>
      </c>
      <c r="C9" s="33" t="s">
        <v>29</v>
      </c>
      <c r="D9" s="16">
        <v>3</v>
      </c>
      <c r="E9" s="50" t="s">
        <v>11</v>
      </c>
      <c r="F9" s="16">
        <v>2</v>
      </c>
      <c r="G9" s="16">
        <v>0</v>
      </c>
      <c r="H9" s="56">
        <f t="shared" si="0"/>
        <v>0</v>
      </c>
      <c r="I9" s="16">
        <v>0</v>
      </c>
      <c r="J9" s="36">
        <v>1</v>
      </c>
      <c r="K9" s="36">
        <v>0</v>
      </c>
      <c r="L9" s="1">
        <v>0</v>
      </c>
      <c r="M9" s="21">
        <v>1</v>
      </c>
      <c r="N9" s="21">
        <v>0</v>
      </c>
      <c r="O9" s="21">
        <v>0</v>
      </c>
      <c r="P9" s="21">
        <v>0</v>
      </c>
    </row>
    <row r="10" spans="1:16" x14ac:dyDescent="0.2">
      <c r="A10" s="42">
        <v>42990</v>
      </c>
      <c r="B10" s="1">
        <v>1</v>
      </c>
      <c r="C10" s="33" t="s">
        <v>30</v>
      </c>
      <c r="D10" s="16">
        <v>4</v>
      </c>
      <c r="E10" s="50" t="s">
        <v>12</v>
      </c>
      <c r="F10" s="16">
        <v>5</v>
      </c>
      <c r="G10" s="16">
        <v>5</v>
      </c>
      <c r="H10" s="56">
        <f t="shared" si="0"/>
        <v>1</v>
      </c>
      <c r="I10" s="16">
        <v>5</v>
      </c>
      <c r="J10" s="36">
        <v>1</v>
      </c>
      <c r="K10" s="36">
        <v>1</v>
      </c>
      <c r="L10" s="1">
        <v>1</v>
      </c>
      <c r="M10" s="21">
        <v>0</v>
      </c>
      <c r="N10" s="21">
        <v>0</v>
      </c>
      <c r="O10" s="21">
        <v>1</v>
      </c>
      <c r="P10" s="21">
        <v>0</v>
      </c>
    </row>
    <row r="11" spans="1:16" x14ac:dyDescent="0.2">
      <c r="A11" s="42">
        <v>42998</v>
      </c>
      <c r="B11" s="1">
        <v>2</v>
      </c>
      <c r="C11" s="33" t="s">
        <v>30</v>
      </c>
      <c r="D11" s="16">
        <v>4</v>
      </c>
      <c r="E11" s="50" t="s">
        <v>12</v>
      </c>
      <c r="F11" s="16">
        <v>5</v>
      </c>
      <c r="G11" s="16">
        <v>2</v>
      </c>
      <c r="H11" s="56">
        <f t="shared" si="0"/>
        <v>0.4</v>
      </c>
      <c r="I11" s="16">
        <v>0</v>
      </c>
      <c r="J11" s="36">
        <v>2</v>
      </c>
      <c r="K11" s="36">
        <v>0</v>
      </c>
      <c r="L11" s="1">
        <v>1</v>
      </c>
      <c r="M11" s="21">
        <v>1</v>
      </c>
      <c r="N11" s="21">
        <v>0</v>
      </c>
      <c r="O11" s="21">
        <v>0</v>
      </c>
      <c r="P11" s="21">
        <v>0</v>
      </c>
    </row>
    <row r="12" spans="1:16" x14ac:dyDescent="0.2">
      <c r="A12" s="42">
        <v>42977</v>
      </c>
      <c r="B12" s="1">
        <v>1</v>
      </c>
      <c r="C12" s="33" t="s">
        <v>31</v>
      </c>
      <c r="D12" s="16">
        <v>5</v>
      </c>
      <c r="E12" s="50" t="s">
        <v>159</v>
      </c>
      <c r="F12" s="16">
        <v>2</v>
      </c>
      <c r="G12" s="16">
        <v>0</v>
      </c>
      <c r="H12" s="56">
        <f t="shared" ref="H12:H21" si="1">G12/F12</f>
        <v>0</v>
      </c>
      <c r="I12" s="16">
        <v>0</v>
      </c>
      <c r="J12" s="36">
        <v>0</v>
      </c>
      <c r="K12" s="36">
        <v>0</v>
      </c>
      <c r="L12" s="1">
        <v>0</v>
      </c>
      <c r="M12" s="21">
        <v>0</v>
      </c>
      <c r="N12" s="21">
        <v>0</v>
      </c>
      <c r="O12" s="21">
        <v>0</v>
      </c>
      <c r="P12" s="21">
        <v>0</v>
      </c>
    </row>
    <row r="13" spans="1:16" x14ac:dyDescent="0.2">
      <c r="A13" s="42">
        <v>42985</v>
      </c>
      <c r="B13" s="1">
        <v>2</v>
      </c>
      <c r="C13" s="33" t="s">
        <v>31</v>
      </c>
      <c r="D13" s="16">
        <v>5</v>
      </c>
      <c r="E13" s="50" t="s">
        <v>159</v>
      </c>
      <c r="F13" s="16">
        <v>2</v>
      </c>
      <c r="G13" s="16">
        <v>0</v>
      </c>
      <c r="H13" s="56">
        <f t="shared" si="1"/>
        <v>0</v>
      </c>
      <c r="I13" s="16">
        <v>4</v>
      </c>
      <c r="J13" s="36">
        <v>0</v>
      </c>
      <c r="K13" s="36">
        <v>0</v>
      </c>
      <c r="L13" s="1">
        <v>0</v>
      </c>
      <c r="M13" s="21">
        <v>0</v>
      </c>
      <c r="N13" s="21">
        <v>0</v>
      </c>
      <c r="O13" s="21">
        <v>0</v>
      </c>
      <c r="P13" s="21">
        <v>0</v>
      </c>
    </row>
    <row r="14" spans="1:16" x14ac:dyDescent="0.2">
      <c r="A14" s="57">
        <v>42989</v>
      </c>
      <c r="B14" s="1">
        <v>3</v>
      </c>
      <c r="C14" s="33" t="s">
        <v>31</v>
      </c>
      <c r="D14" s="16">
        <v>5</v>
      </c>
      <c r="E14" s="50" t="s">
        <v>159</v>
      </c>
      <c r="F14" s="16">
        <v>2</v>
      </c>
      <c r="G14" s="16">
        <v>3</v>
      </c>
      <c r="H14" s="56">
        <f t="shared" si="1"/>
        <v>1.5</v>
      </c>
      <c r="I14" s="16">
        <v>3</v>
      </c>
      <c r="J14" s="36">
        <v>1</v>
      </c>
      <c r="K14" s="36">
        <v>0</v>
      </c>
      <c r="L14" s="1">
        <v>1</v>
      </c>
      <c r="M14" s="21">
        <v>0</v>
      </c>
      <c r="N14" s="21">
        <v>0</v>
      </c>
      <c r="O14" s="21">
        <v>0</v>
      </c>
      <c r="P14" s="21">
        <v>0</v>
      </c>
    </row>
    <row r="15" spans="1:16" x14ac:dyDescent="0.2">
      <c r="A15" s="57">
        <v>42999</v>
      </c>
      <c r="B15" s="1">
        <v>4</v>
      </c>
      <c r="C15" s="33" t="s">
        <v>31</v>
      </c>
      <c r="D15" s="16">
        <v>5</v>
      </c>
      <c r="E15" s="50" t="s">
        <v>159</v>
      </c>
      <c r="F15" s="16">
        <v>2</v>
      </c>
      <c r="G15" s="16">
        <v>0</v>
      </c>
      <c r="H15" s="56">
        <f t="shared" si="1"/>
        <v>0</v>
      </c>
      <c r="I15" s="16">
        <v>0</v>
      </c>
      <c r="J15" s="36">
        <v>0</v>
      </c>
      <c r="K15" s="36">
        <v>0</v>
      </c>
      <c r="L15" s="1">
        <v>0</v>
      </c>
      <c r="M15" s="21">
        <v>0</v>
      </c>
      <c r="N15" s="21">
        <v>0</v>
      </c>
      <c r="O15" s="21">
        <v>0</v>
      </c>
      <c r="P15" s="21">
        <v>0</v>
      </c>
    </row>
    <row r="16" spans="1:16" x14ac:dyDescent="0.2">
      <c r="A16" s="57">
        <v>43003</v>
      </c>
      <c r="B16" s="1">
        <v>5</v>
      </c>
      <c r="C16" s="33" t="s">
        <v>31</v>
      </c>
      <c r="D16" s="16">
        <v>5</v>
      </c>
      <c r="E16" s="50" t="s">
        <v>159</v>
      </c>
      <c r="F16" s="16">
        <v>2</v>
      </c>
      <c r="G16" s="16">
        <v>0</v>
      </c>
      <c r="H16" s="56">
        <f t="shared" si="1"/>
        <v>0</v>
      </c>
      <c r="I16" s="16">
        <v>0</v>
      </c>
      <c r="J16" s="36">
        <v>0</v>
      </c>
      <c r="K16" s="36">
        <v>0</v>
      </c>
      <c r="L16" s="1">
        <v>0</v>
      </c>
      <c r="M16" s="21">
        <v>0</v>
      </c>
      <c r="N16" s="21">
        <v>0</v>
      </c>
      <c r="O16" s="21">
        <v>0</v>
      </c>
      <c r="P16" s="21">
        <v>0</v>
      </c>
    </row>
    <row r="17" spans="1:16" x14ac:dyDescent="0.2">
      <c r="A17" s="57">
        <v>42977</v>
      </c>
      <c r="B17" s="1">
        <v>1</v>
      </c>
      <c r="C17" s="33" t="s">
        <v>32</v>
      </c>
      <c r="D17" s="16">
        <v>6</v>
      </c>
      <c r="E17" s="50" t="s">
        <v>14</v>
      </c>
      <c r="F17" s="16">
        <v>4</v>
      </c>
      <c r="G17" s="16">
        <v>0</v>
      </c>
      <c r="H17" s="56">
        <f t="shared" si="1"/>
        <v>0</v>
      </c>
      <c r="I17" s="16">
        <v>0</v>
      </c>
      <c r="J17" s="36">
        <v>0</v>
      </c>
      <c r="K17" s="36">
        <v>0</v>
      </c>
      <c r="L17" s="1">
        <v>0</v>
      </c>
      <c r="M17" s="21">
        <v>0</v>
      </c>
      <c r="N17" s="21">
        <v>0</v>
      </c>
      <c r="O17" s="21">
        <v>0</v>
      </c>
      <c r="P17" s="21">
        <v>0</v>
      </c>
    </row>
    <row r="18" spans="1:16" x14ac:dyDescent="0.2">
      <c r="A18" s="57">
        <v>42985</v>
      </c>
      <c r="B18" s="1">
        <v>2</v>
      </c>
      <c r="C18" s="33" t="s">
        <v>32</v>
      </c>
      <c r="D18" s="16">
        <v>6</v>
      </c>
      <c r="E18" s="50" t="s">
        <v>14</v>
      </c>
      <c r="F18" s="16">
        <v>4</v>
      </c>
      <c r="G18" s="16">
        <v>0</v>
      </c>
      <c r="H18" s="56">
        <f t="shared" si="1"/>
        <v>0</v>
      </c>
      <c r="I18" s="16">
        <v>0</v>
      </c>
      <c r="J18" s="36">
        <v>0</v>
      </c>
      <c r="K18" s="36">
        <v>0</v>
      </c>
      <c r="L18" s="1">
        <v>0</v>
      </c>
      <c r="M18" s="21">
        <v>0</v>
      </c>
      <c r="N18" s="21">
        <v>0</v>
      </c>
      <c r="O18" s="21">
        <v>0</v>
      </c>
      <c r="P18" s="21">
        <v>0</v>
      </c>
    </row>
    <row r="19" spans="1:16" x14ac:dyDescent="0.2">
      <c r="A19" s="57">
        <v>42989</v>
      </c>
      <c r="B19" s="1">
        <v>3</v>
      </c>
      <c r="C19" s="33" t="s">
        <v>32</v>
      </c>
      <c r="D19" s="16">
        <v>6</v>
      </c>
      <c r="E19" s="50" t="s">
        <v>14</v>
      </c>
      <c r="F19" s="16">
        <v>4</v>
      </c>
      <c r="G19" s="16">
        <v>3</v>
      </c>
      <c r="H19" s="16">
        <f t="shared" si="1"/>
        <v>0.75</v>
      </c>
      <c r="I19" s="16">
        <v>5</v>
      </c>
      <c r="J19" s="36">
        <v>2</v>
      </c>
      <c r="K19" s="36">
        <v>0</v>
      </c>
      <c r="L19" s="1">
        <v>0</v>
      </c>
      <c r="M19" s="21">
        <v>2</v>
      </c>
      <c r="N19" s="21">
        <v>0</v>
      </c>
      <c r="O19" s="21">
        <v>0</v>
      </c>
      <c r="P19" s="21">
        <v>0</v>
      </c>
    </row>
    <row r="20" spans="1:16" x14ac:dyDescent="0.2">
      <c r="A20" s="58">
        <v>42999</v>
      </c>
      <c r="B20" s="16">
        <v>4</v>
      </c>
      <c r="C20" s="33" t="s">
        <v>32</v>
      </c>
      <c r="D20" s="16">
        <v>6</v>
      </c>
      <c r="E20" s="50" t="s">
        <v>14</v>
      </c>
      <c r="F20" s="16">
        <v>4</v>
      </c>
      <c r="G20" s="16">
        <v>1</v>
      </c>
      <c r="H20" s="16">
        <f t="shared" si="1"/>
        <v>0.25</v>
      </c>
      <c r="I20" s="16">
        <v>1</v>
      </c>
      <c r="J20" s="36">
        <v>0</v>
      </c>
      <c r="K20" s="36">
        <v>0</v>
      </c>
      <c r="L20" s="1">
        <v>0</v>
      </c>
      <c r="M20" s="21">
        <v>0</v>
      </c>
      <c r="N20" s="21">
        <v>0</v>
      </c>
      <c r="O20" s="21">
        <v>0</v>
      </c>
      <c r="P20" s="21">
        <v>0</v>
      </c>
    </row>
    <row r="21" spans="1:16" x14ac:dyDescent="0.2">
      <c r="A21" s="58">
        <v>43003</v>
      </c>
      <c r="B21" s="16">
        <v>5</v>
      </c>
      <c r="C21" s="33" t="s">
        <v>32</v>
      </c>
      <c r="D21" s="16">
        <v>6</v>
      </c>
      <c r="E21" s="50" t="s">
        <v>14</v>
      </c>
      <c r="F21" s="16">
        <v>4</v>
      </c>
      <c r="G21" s="16">
        <v>0</v>
      </c>
      <c r="H21" s="56">
        <f t="shared" si="1"/>
        <v>0</v>
      </c>
      <c r="I21" s="16">
        <v>0</v>
      </c>
      <c r="J21" s="36">
        <v>0</v>
      </c>
      <c r="K21" s="36">
        <v>0</v>
      </c>
      <c r="L21" s="1">
        <v>0</v>
      </c>
      <c r="M21" s="21">
        <v>0</v>
      </c>
      <c r="N21" s="21">
        <v>0</v>
      </c>
      <c r="O21" s="21">
        <v>0</v>
      </c>
      <c r="P21" s="21">
        <v>0</v>
      </c>
    </row>
    <row r="22" spans="1:16" x14ac:dyDescent="0.2">
      <c r="A22" s="42">
        <v>42958</v>
      </c>
      <c r="B22" s="1" t="s">
        <v>127</v>
      </c>
      <c r="C22" s="33" t="s">
        <v>33</v>
      </c>
      <c r="D22" s="16">
        <v>7</v>
      </c>
      <c r="E22" s="50" t="s">
        <v>15</v>
      </c>
      <c r="F22" s="16">
        <v>3</v>
      </c>
      <c r="G22" s="33">
        <v>0</v>
      </c>
      <c r="H22" s="51">
        <f t="shared" ref="H22:H42" si="2">G22/F22</f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v>0</v>
      </c>
    </row>
    <row r="23" spans="1:16" x14ac:dyDescent="0.2">
      <c r="A23" s="42">
        <v>42978</v>
      </c>
      <c r="B23" s="1">
        <v>1</v>
      </c>
      <c r="C23" s="33" t="s">
        <v>33</v>
      </c>
      <c r="D23" s="16">
        <v>7</v>
      </c>
      <c r="E23" s="50" t="s">
        <v>15</v>
      </c>
      <c r="F23" s="16">
        <v>3</v>
      </c>
      <c r="G23" s="33">
        <v>0</v>
      </c>
      <c r="H23" s="51">
        <f t="shared" si="2"/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0">
        <v>0</v>
      </c>
      <c r="O23" s="40">
        <v>0</v>
      </c>
      <c r="P23" s="40">
        <v>0</v>
      </c>
    </row>
    <row r="24" spans="1:16" x14ac:dyDescent="0.2">
      <c r="A24" s="42">
        <v>42984</v>
      </c>
      <c r="B24" s="1">
        <v>2</v>
      </c>
      <c r="C24" s="33" t="s">
        <v>33</v>
      </c>
      <c r="D24" s="16">
        <v>7</v>
      </c>
      <c r="E24" s="50" t="s">
        <v>15</v>
      </c>
      <c r="F24" s="16">
        <v>3</v>
      </c>
      <c r="G24" s="33">
        <v>2</v>
      </c>
      <c r="H24" s="51">
        <f t="shared" si="2"/>
        <v>0.66666666666666663</v>
      </c>
      <c r="I24" s="40">
        <v>2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</row>
    <row r="25" spans="1:16" x14ac:dyDescent="0.2">
      <c r="A25" s="42">
        <v>42989</v>
      </c>
      <c r="B25" s="1">
        <v>3</v>
      </c>
      <c r="C25" s="33" t="s">
        <v>33</v>
      </c>
      <c r="D25" s="16">
        <v>7</v>
      </c>
      <c r="E25" s="50" t="s">
        <v>15</v>
      </c>
      <c r="F25" s="16">
        <v>3</v>
      </c>
      <c r="G25" s="33">
        <v>0</v>
      </c>
      <c r="H25" s="51">
        <f t="shared" si="2"/>
        <v>0</v>
      </c>
      <c r="I25" s="40">
        <v>1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</row>
    <row r="26" spans="1:16" x14ac:dyDescent="0.2">
      <c r="A26" s="42">
        <v>42999</v>
      </c>
      <c r="B26" s="1">
        <v>4</v>
      </c>
      <c r="C26" s="33" t="s">
        <v>33</v>
      </c>
      <c r="D26" s="16">
        <v>7</v>
      </c>
      <c r="E26" s="50" t="s">
        <v>15</v>
      </c>
      <c r="F26" s="16">
        <v>3</v>
      </c>
      <c r="G26" s="33">
        <v>0</v>
      </c>
      <c r="H26" s="51">
        <f t="shared" si="2"/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0</v>
      </c>
    </row>
    <row r="27" spans="1:16" x14ac:dyDescent="0.2">
      <c r="A27" s="42">
        <v>43003</v>
      </c>
      <c r="B27" s="1">
        <v>5</v>
      </c>
      <c r="C27" s="33" t="s">
        <v>33</v>
      </c>
      <c r="D27" s="16">
        <v>7</v>
      </c>
      <c r="E27" s="50" t="s">
        <v>15</v>
      </c>
      <c r="F27" s="16">
        <v>3</v>
      </c>
      <c r="G27" s="33">
        <v>0</v>
      </c>
      <c r="H27" s="51">
        <f t="shared" si="2"/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0</v>
      </c>
      <c r="O27" s="40">
        <v>0</v>
      </c>
      <c r="P27" s="40">
        <v>0</v>
      </c>
    </row>
    <row r="28" spans="1:16" x14ac:dyDescent="0.2">
      <c r="A28" s="42">
        <v>42958</v>
      </c>
      <c r="B28" s="1" t="s">
        <v>127</v>
      </c>
      <c r="C28" s="33" t="s">
        <v>34</v>
      </c>
      <c r="D28" s="16">
        <v>8</v>
      </c>
      <c r="E28" s="50" t="s">
        <v>16</v>
      </c>
      <c r="F28" s="33">
        <v>3</v>
      </c>
      <c r="G28" s="33">
        <v>0</v>
      </c>
      <c r="H28" s="51">
        <f t="shared" si="2"/>
        <v>0</v>
      </c>
      <c r="I28" s="40">
        <v>16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1</v>
      </c>
    </row>
    <row r="29" spans="1:16" x14ac:dyDescent="0.2">
      <c r="A29" s="42">
        <v>42978</v>
      </c>
      <c r="B29" s="1">
        <v>1</v>
      </c>
      <c r="C29" s="33" t="s">
        <v>34</v>
      </c>
      <c r="D29" s="16">
        <v>8</v>
      </c>
      <c r="E29" s="50" t="s">
        <v>16</v>
      </c>
      <c r="F29" s="33">
        <v>3</v>
      </c>
      <c r="G29" s="33">
        <v>5</v>
      </c>
      <c r="H29" s="51">
        <f t="shared" si="2"/>
        <v>1.6666666666666667</v>
      </c>
      <c r="I29" s="40">
        <v>9</v>
      </c>
      <c r="J29" s="40">
        <v>3</v>
      </c>
      <c r="K29" s="40">
        <v>0</v>
      </c>
      <c r="L29" s="40">
        <v>0</v>
      </c>
      <c r="M29" s="40">
        <v>3</v>
      </c>
      <c r="N29" s="40">
        <v>0</v>
      </c>
      <c r="O29" s="40">
        <v>0</v>
      </c>
      <c r="P29" s="40">
        <v>0</v>
      </c>
    </row>
    <row r="30" spans="1:16" x14ac:dyDescent="0.2">
      <c r="A30" s="42">
        <v>42984</v>
      </c>
      <c r="B30" s="1">
        <v>2</v>
      </c>
      <c r="C30" s="33" t="s">
        <v>34</v>
      </c>
      <c r="D30" s="16">
        <v>8</v>
      </c>
      <c r="E30" s="50" t="s">
        <v>16</v>
      </c>
      <c r="F30" s="33">
        <v>3</v>
      </c>
      <c r="G30" s="33">
        <v>0</v>
      </c>
      <c r="H30" s="51">
        <f t="shared" si="2"/>
        <v>0</v>
      </c>
      <c r="I30" s="40">
        <v>12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</row>
    <row r="31" spans="1:16" x14ac:dyDescent="0.2">
      <c r="A31" s="42">
        <v>42989</v>
      </c>
      <c r="B31" s="1">
        <v>3</v>
      </c>
      <c r="C31" s="33" t="s">
        <v>34</v>
      </c>
      <c r="D31" s="16">
        <v>8</v>
      </c>
      <c r="E31" s="50" t="s">
        <v>16</v>
      </c>
      <c r="F31" s="33">
        <v>3</v>
      </c>
      <c r="G31" s="33">
        <v>8</v>
      </c>
      <c r="H31" s="51">
        <f t="shared" si="2"/>
        <v>2.6666666666666665</v>
      </c>
      <c r="I31" s="40">
        <v>24</v>
      </c>
      <c r="J31" s="40">
        <v>12</v>
      </c>
      <c r="K31" s="40">
        <v>2</v>
      </c>
      <c r="L31" s="40">
        <v>4</v>
      </c>
      <c r="M31" s="40">
        <v>8</v>
      </c>
      <c r="N31" s="40">
        <v>0</v>
      </c>
      <c r="O31" s="40">
        <v>2</v>
      </c>
      <c r="P31" s="40">
        <v>0</v>
      </c>
    </row>
    <row r="32" spans="1:16" x14ac:dyDescent="0.2">
      <c r="A32" s="42">
        <v>42999</v>
      </c>
      <c r="B32" s="1">
        <v>4</v>
      </c>
      <c r="C32" s="33" t="s">
        <v>34</v>
      </c>
      <c r="D32" s="16">
        <v>8</v>
      </c>
      <c r="E32" s="50" t="s">
        <v>16</v>
      </c>
      <c r="F32" s="33">
        <v>3</v>
      </c>
      <c r="G32" s="33">
        <v>8</v>
      </c>
      <c r="H32" s="51">
        <f t="shared" si="2"/>
        <v>2.6666666666666665</v>
      </c>
      <c r="I32" s="40">
        <v>4</v>
      </c>
      <c r="J32" s="40">
        <v>4</v>
      </c>
      <c r="K32" s="40">
        <v>4</v>
      </c>
      <c r="L32" s="40">
        <v>2</v>
      </c>
      <c r="M32" s="40">
        <v>2</v>
      </c>
      <c r="N32" s="40">
        <v>2</v>
      </c>
      <c r="O32" s="40">
        <v>2</v>
      </c>
      <c r="P32" s="40">
        <v>3</v>
      </c>
    </row>
    <row r="33" spans="1:16" x14ac:dyDescent="0.2">
      <c r="A33" s="42">
        <v>43003</v>
      </c>
      <c r="B33" s="1">
        <v>5</v>
      </c>
      <c r="C33" s="33" t="s">
        <v>34</v>
      </c>
      <c r="D33" s="16">
        <v>8</v>
      </c>
      <c r="E33" s="50" t="s">
        <v>16</v>
      </c>
      <c r="F33" s="33">
        <v>3</v>
      </c>
      <c r="G33" s="33">
        <v>5</v>
      </c>
      <c r="H33" s="51">
        <f t="shared" si="2"/>
        <v>1.6666666666666667</v>
      </c>
      <c r="I33" s="40">
        <v>1</v>
      </c>
      <c r="J33" s="40">
        <v>1</v>
      </c>
      <c r="K33" s="40">
        <v>1</v>
      </c>
      <c r="L33" s="40">
        <v>0</v>
      </c>
      <c r="M33" s="40">
        <v>1</v>
      </c>
      <c r="N33" s="40">
        <v>1</v>
      </c>
      <c r="O33" s="40">
        <v>0</v>
      </c>
      <c r="P33" s="40">
        <v>0</v>
      </c>
    </row>
    <row r="34" spans="1:16" x14ac:dyDescent="0.2">
      <c r="A34" s="38">
        <v>42979</v>
      </c>
      <c r="B34" s="1">
        <v>1</v>
      </c>
      <c r="C34" s="33" t="s">
        <v>35</v>
      </c>
      <c r="D34" s="16">
        <v>9</v>
      </c>
      <c r="E34" s="50" t="s">
        <v>17</v>
      </c>
      <c r="F34" s="16">
        <v>4</v>
      </c>
      <c r="G34" s="33">
        <v>0</v>
      </c>
      <c r="H34" s="51">
        <f t="shared" si="2"/>
        <v>0</v>
      </c>
      <c r="I34" s="40">
        <v>2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</row>
    <row r="35" spans="1:16" x14ac:dyDescent="0.2">
      <c r="A35" s="38">
        <v>43003</v>
      </c>
      <c r="B35" s="1">
        <v>2</v>
      </c>
      <c r="C35" s="33" t="s">
        <v>35</v>
      </c>
      <c r="D35" s="16">
        <v>9</v>
      </c>
      <c r="E35" s="50" t="s">
        <v>17</v>
      </c>
      <c r="F35" s="16">
        <v>4</v>
      </c>
      <c r="G35" s="33">
        <v>11</v>
      </c>
      <c r="H35" s="51">
        <f t="shared" si="2"/>
        <v>2.75</v>
      </c>
      <c r="I35" s="40">
        <v>1</v>
      </c>
      <c r="J35" s="40">
        <v>3</v>
      </c>
      <c r="K35" s="40">
        <v>0</v>
      </c>
      <c r="L35" s="40">
        <v>0</v>
      </c>
      <c r="M35" s="40">
        <v>3</v>
      </c>
      <c r="N35" s="40">
        <v>0</v>
      </c>
      <c r="O35" s="40">
        <v>0</v>
      </c>
      <c r="P35" s="40">
        <v>0</v>
      </c>
    </row>
    <row r="36" spans="1:16" x14ac:dyDescent="0.2">
      <c r="A36" s="42">
        <v>42979</v>
      </c>
      <c r="B36" s="1">
        <v>1</v>
      </c>
      <c r="C36" s="33" t="s">
        <v>36</v>
      </c>
      <c r="D36" s="16">
        <v>10</v>
      </c>
      <c r="E36" s="50" t="s">
        <v>18</v>
      </c>
      <c r="F36" s="46">
        <v>5</v>
      </c>
      <c r="G36" s="33">
        <v>2</v>
      </c>
      <c r="H36" s="51">
        <f t="shared" si="2"/>
        <v>0.4</v>
      </c>
      <c r="I36" s="40">
        <v>3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</row>
    <row r="37" spans="1:16" x14ac:dyDescent="0.2">
      <c r="A37" s="42">
        <v>42986</v>
      </c>
      <c r="B37" s="1">
        <v>2</v>
      </c>
      <c r="C37" s="33" t="s">
        <v>36</v>
      </c>
      <c r="D37" s="16">
        <v>10</v>
      </c>
      <c r="E37" s="50" t="s">
        <v>18</v>
      </c>
      <c r="F37" s="46">
        <v>5</v>
      </c>
      <c r="G37" s="33">
        <v>0</v>
      </c>
      <c r="H37" s="51">
        <f t="shared" si="2"/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40">
        <v>0</v>
      </c>
    </row>
    <row r="38" spans="1:16" x14ac:dyDescent="0.2">
      <c r="A38" s="42">
        <v>42993</v>
      </c>
      <c r="B38" s="1">
        <v>3</v>
      </c>
      <c r="C38" s="33" t="s">
        <v>36</v>
      </c>
      <c r="D38" s="16">
        <v>10</v>
      </c>
      <c r="E38" s="50" t="s">
        <v>18</v>
      </c>
      <c r="F38" s="46">
        <v>5</v>
      </c>
      <c r="G38" s="33">
        <v>1</v>
      </c>
      <c r="H38" s="51">
        <f t="shared" si="2"/>
        <v>0.2</v>
      </c>
      <c r="I38" s="40">
        <v>1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</row>
    <row r="39" spans="1:16" x14ac:dyDescent="0.2">
      <c r="A39" s="42">
        <v>43004</v>
      </c>
      <c r="B39" s="1">
        <v>4</v>
      </c>
      <c r="C39" s="33" t="s">
        <v>36</v>
      </c>
      <c r="D39" s="16">
        <v>10</v>
      </c>
      <c r="E39" s="50" t="s">
        <v>18</v>
      </c>
      <c r="F39" s="46">
        <v>5</v>
      </c>
      <c r="G39" s="33">
        <v>0</v>
      </c>
      <c r="H39" s="51">
        <f t="shared" si="2"/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v>0</v>
      </c>
    </row>
    <row r="40" spans="1:16" x14ac:dyDescent="0.2">
      <c r="A40" s="42">
        <v>42992</v>
      </c>
      <c r="B40" s="1">
        <v>1</v>
      </c>
      <c r="C40" s="33" t="s">
        <v>37</v>
      </c>
      <c r="D40" s="16">
        <v>11</v>
      </c>
      <c r="E40" s="50" t="s">
        <v>19</v>
      </c>
      <c r="F40" s="16">
        <v>4</v>
      </c>
      <c r="G40" s="33">
        <v>1</v>
      </c>
      <c r="H40" s="51">
        <f t="shared" si="2"/>
        <v>0.25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</row>
    <row r="41" spans="1:16" x14ac:dyDescent="0.2">
      <c r="A41" s="42">
        <v>42999</v>
      </c>
      <c r="B41" s="1">
        <v>2</v>
      </c>
      <c r="C41" s="33" t="s">
        <v>37</v>
      </c>
      <c r="D41" s="16">
        <v>11</v>
      </c>
      <c r="E41" s="50" t="s">
        <v>19</v>
      </c>
      <c r="F41" s="16">
        <v>4</v>
      </c>
      <c r="G41" s="33">
        <v>0</v>
      </c>
      <c r="H41" s="51">
        <f t="shared" si="2"/>
        <v>0</v>
      </c>
      <c r="I41" s="40">
        <v>1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  <c r="O41" s="40">
        <v>0</v>
      </c>
      <c r="P41" s="40">
        <v>0</v>
      </c>
    </row>
    <row r="42" spans="1:16" x14ac:dyDescent="0.2">
      <c r="A42" s="42">
        <v>43006</v>
      </c>
      <c r="B42" s="1">
        <v>3</v>
      </c>
      <c r="C42" s="33" t="s">
        <v>37</v>
      </c>
      <c r="D42" s="16">
        <v>11</v>
      </c>
      <c r="E42" s="50" t="s">
        <v>19</v>
      </c>
      <c r="F42" s="16">
        <v>4</v>
      </c>
      <c r="G42" s="33">
        <v>0</v>
      </c>
      <c r="H42" s="51">
        <f t="shared" si="2"/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</row>
    <row r="43" spans="1:16" x14ac:dyDescent="0.2">
      <c r="A43" s="42">
        <v>42992</v>
      </c>
      <c r="B43" s="1">
        <v>1</v>
      </c>
      <c r="C43" s="33" t="s">
        <v>38</v>
      </c>
      <c r="D43" s="16">
        <v>12</v>
      </c>
      <c r="E43" s="50" t="s">
        <v>20</v>
      </c>
      <c r="F43" s="46">
        <v>3</v>
      </c>
      <c r="G43" s="33">
        <v>0</v>
      </c>
      <c r="H43" s="51">
        <f t="shared" ref="H43:H55" si="3">G43/F43</f>
        <v>0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 s="40">
        <v>0</v>
      </c>
      <c r="O43" s="40">
        <v>0</v>
      </c>
      <c r="P43" s="40">
        <v>0</v>
      </c>
    </row>
    <row r="44" spans="1:16" x14ac:dyDescent="0.2">
      <c r="A44" s="42">
        <v>43000</v>
      </c>
      <c r="B44" s="1">
        <v>2</v>
      </c>
      <c r="C44" s="33" t="s">
        <v>38</v>
      </c>
      <c r="D44" s="16">
        <v>12</v>
      </c>
      <c r="E44" s="50" t="s">
        <v>20</v>
      </c>
      <c r="F44" s="46">
        <v>3</v>
      </c>
      <c r="G44" s="33">
        <v>0</v>
      </c>
      <c r="H44" s="51">
        <f t="shared" si="3"/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</row>
    <row r="45" spans="1:16" x14ac:dyDescent="0.2">
      <c r="A45" s="42">
        <v>43007</v>
      </c>
      <c r="B45" s="1">
        <v>3</v>
      </c>
      <c r="C45" s="33" t="s">
        <v>38</v>
      </c>
      <c r="D45" s="16">
        <v>12</v>
      </c>
      <c r="E45" s="50" t="s">
        <v>20</v>
      </c>
      <c r="F45" s="46">
        <v>3</v>
      </c>
      <c r="G45" s="33">
        <v>0</v>
      </c>
      <c r="H45" s="51">
        <f t="shared" si="3"/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40">
        <v>0</v>
      </c>
    </row>
    <row r="46" spans="1:16" x14ac:dyDescent="0.2">
      <c r="A46" s="42">
        <v>42993</v>
      </c>
      <c r="B46" s="1">
        <v>1</v>
      </c>
      <c r="C46" s="33" t="s">
        <v>124</v>
      </c>
      <c r="D46" s="16">
        <v>13</v>
      </c>
      <c r="E46" s="50" t="s">
        <v>21</v>
      </c>
      <c r="F46" s="16">
        <v>3</v>
      </c>
      <c r="G46" s="33">
        <v>0</v>
      </c>
      <c r="H46" s="51">
        <f t="shared" si="3"/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</row>
    <row r="47" spans="1:16" x14ac:dyDescent="0.2">
      <c r="A47" s="42">
        <v>42993</v>
      </c>
      <c r="B47" s="1">
        <v>1</v>
      </c>
      <c r="C47" s="33" t="s">
        <v>123</v>
      </c>
      <c r="D47" s="16">
        <v>14</v>
      </c>
      <c r="E47" s="50" t="s">
        <v>22</v>
      </c>
      <c r="F47" s="16">
        <v>3</v>
      </c>
      <c r="G47" s="33">
        <v>0</v>
      </c>
      <c r="H47" s="51">
        <f t="shared" si="3"/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  <c r="P47" s="40">
        <v>0</v>
      </c>
    </row>
    <row r="48" spans="1:16" x14ac:dyDescent="0.2">
      <c r="A48" s="42">
        <v>42993</v>
      </c>
      <c r="B48" s="40">
        <v>1</v>
      </c>
      <c r="C48" s="33" t="s">
        <v>40</v>
      </c>
      <c r="D48" s="16">
        <v>15</v>
      </c>
      <c r="E48" s="50" t="s">
        <v>125</v>
      </c>
      <c r="F48" s="16">
        <v>6</v>
      </c>
      <c r="G48" s="33">
        <v>0</v>
      </c>
      <c r="H48" s="51">
        <f t="shared" si="3"/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</row>
    <row r="49" spans="1:17" x14ac:dyDescent="0.2">
      <c r="A49" s="42">
        <v>43007</v>
      </c>
      <c r="B49" s="40">
        <v>1</v>
      </c>
      <c r="C49" s="33" t="s">
        <v>129</v>
      </c>
      <c r="D49" s="33">
        <v>16</v>
      </c>
      <c r="E49" s="50" t="s">
        <v>128</v>
      </c>
      <c r="F49" s="1">
        <v>6</v>
      </c>
      <c r="G49" s="33">
        <v>0</v>
      </c>
      <c r="H49" s="51">
        <f t="shared" si="3"/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</row>
    <row r="50" spans="1:17" x14ac:dyDescent="0.2">
      <c r="A50" s="42">
        <v>43005</v>
      </c>
      <c r="B50" s="40">
        <v>1</v>
      </c>
      <c r="C50" s="16" t="s">
        <v>131</v>
      </c>
      <c r="D50" s="16">
        <v>17</v>
      </c>
      <c r="E50" s="50" t="s">
        <v>130</v>
      </c>
      <c r="F50" s="1">
        <v>2</v>
      </c>
      <c r="G50" s="33">
        <v>0</v>
      </c>
      <c r="H50" s="51">
        <f t="shared" si="3"/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</row>
    <row r="51" spans="1:17" x14ac:dyDescent="0.2">
      <c r="A51" s="42">
        <v>43005</v>
      </c>
      <c r="B51" s="40">
        <v>1</v>
      </c>
      <c r="C51" s="16" t="s">
        <v>133</v>
      </c>
      <c r="D51" s="16">
        <v>18</v>
      </c>
      <c r="E51" s="50" t="s">
        <v>132</v>
      </c>
      <c r="F51" s="1">
        <v>3</v>
      </c>
      <c r="G51" s="33">
        <v>0</v>
      </c>
      <c r="H51" s="51">
        <f t="shared" si="3"/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</row>
    <row r="52" spans="1:17" x14ac:dyDescent="0.2">
      <c r="A52" s="42">
        <v>43011</v>
      </c>
      <c r="B52" s="40">
        <v>1</v>
      </c>
      <c r="C52" s="16" t="s">
        <v>143</v>
      </c>
      <c r="D52" s="16">
        <v>19</v>
      </c>
      <c r="E52" s="50" t="s">
        <v>141</v>
      </c>
      <c r="F52" s="1">
        <v>4</v>
      </c>
      <c r="G52" s="33">
        <v>0</v>
      </c>
      <c r="H52" s="51">
        <f t="shared" si="3"/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/>
    </row>
    <row r="53" spans="1:17" x14ac:dyDescent="0.2">
      <c r="A53" s="42">
        <v>43011</v>
      </c>
      <c r="B53" s="40">
        <v>1</v>
      </c>
      <c r="C53" s="16" t="s">
        <v>144</v>
      </c>
      <c r="D53" s="16">
        <v>20</v>
      </c>
      <c r="E53" s="50" t="s">
        <v>142</v>
      </c>
      <c r="F53" s="1">
        <v>4</v>
      </c>
      <c r="G53" s="33">
        <v>0</v>
      </c>
      <c r="H53" s="51">
        <f t="shared" si="3"/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s="40">
        <v>0</v>
      </c>
    </row>
    <row r="54" spans="1:17" x14ac:dyDescent="0.2">
      <c r="A54" s="42">
        <v>43011</v>
      </c>
      <c r="B54" s="40">
        <v>1</v>
      </c>
      <c r="C54" s="16" t="s">
        <v>136</v>
      </c>
      <c r="D54" s="16">
        <v>21</v>
      </c>
      <c r="E54" s="50" t="s">
        <v>134</v>
      </c>
      <c r="F54" s="1">
        <v>3</v>
      </c>
      <c r="G54" s="33">
        <v>0</v>
      </c>
      <c r="H54" s="51">
        <f t="shared" si="3"/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</row>
    <row r="55" spans="1:17" ht="13.5" thickBot="1" x14ac:dyDescent="0.25">
      <c r="A55" s="42">
        <v>43013</v>
      </c>
      <c r="B55" s="40">
        <v>1</v>
      </c>
      <c r="C55" s="16" t="s">
        <v>137</v>
      </c>
      <c r="D55" s="16">
        <v>22</v>
      </c>
      <c r="E55" s="50" t="s">
        <v>135</v>
      </c>
      <c r="F55" s="4">
        <v>4</v>
      </c>
      <c r="G55" s="59">
        <v>0</v>
      </c>
      <c r="H55" s="60">
        <f t="shared" si="3"/>
        <v>0</v>
      </c>
      <c r="I55" s="61">
        <v>1</v>
      </c>
      <c r="J55" s="61">
        <v>0</v>
      </c>
      <c r="K55" s="61">
        <v>0</v>
      </c>
      <c r="L55" s="61">
        <v>0</v>
      </c>
      <c r="M55" s="61">
        <v>0</v>
      </c>
      <c r="N55" s="61">
        <v>0</v>
      </c>
      <c r="O55" s="61">
        <v>0</v>
      </c>
      <c r="P55" s="61">
        <v>0</v>
      </c>
    </row>
    <row r="56" spans="1:17" x14ac:dyDescent="0.2">
      <c r="A56" s="42"/>
      <c r="F56" s="2">
        <f>SUM(F4:F55)</f>
        <v>182</v>
      </c>
      <c r="G56" s="2">
        <f>SUM(G4:G55)</f>
        <v>70</v>
      </c>
      <c r="H56" s="63">
        <f>G56/F56</f>
        <v>0.38461538461538464</v>
      </c>
      <c r="I56" s="2">
        <f t="shared" ref="I56:P56" si="4">SUM(I4:I55)</f>
        <v>117</v>
      </c>
      <c r="J56" s="2">
        <f t="shared" si="4"/>
        <v>33</v>
      </c>
      <c r="K56" s="2">
        <f t="shared" si="4"/>
        <v>8</v>
      </c>
      <c r="L56" s="2">
        <f t="shared" si="4"/>
        <v>10</v>
      </c>
      <c r="M56" s="2">
        <f t="shared" si="4"/>
        <v>23</v>
      </c>
      <c r="N56" s="2">
        <f t="shared" si="4"/>
        <v>3</v>
      </c>
      <c r="O56" s="2">
        <f t="shared" si="4"/>
        <v>5</v>
      </c>
      <c r="P56" s="2">
        <f t="shared" si="4"/>
        <v>4</v>
      </c>
    </row>
    <row r="57" spans="1:17" x14ac:dyDescent="0.2">
      <c r="A57" s="42"/>
      <c r="H57" s="1"/>
    </row>
    <row r="58" spans="1:17" x14ac:dyDescent="0.2">
      <c r="A58" s="42"/>
      <c r="H58" s="1"/>
    </row>
    <row r="59" spans="1:17" x14ac:dyDescent="0.2">
      <c r="A59" s="42"/>
      <c r="H59" s="1"/>
    </row>
    <row r="60" spans="1:17" x14ac:dyDescent="0.2">
      <c r="A60" s="42"/>
      <c r="H60" s="1"/>
    </row>
    <row r="61" spans="1:17" x14ac:dyDescent="0.2">
      <c r="A61" s="42"/>
      <c r="H61" s="1"/>
    </row>
    <row r="62" spans="1:17" x14ac:dyDescent="0.2">
      <c r="A62" s="42"/>
      <c r="H62" s="1"/>
    </row>
    <row r="63" spans="1:17" x14ac:dyDescent="0.2">
      <c r="A63" s="42"/>
      <c r="H63" s="1"/>
    </row>
    <row r="64" spans="1:17" x14ac:dyDescent="0.2">
      <c r="A64" s="42"/>
      <c r="H64" s="1"/>
    </row>
    <row r="65" spans="1:8" x14ac:dyDescent="0.2">
      <c r="A65" s="42"/>
      <c r="H65" s="1"/>
    </row>
    <row r="66" spans="1:8" x14ac:dyDescent="0.2">
      <c r="A66" s="42"/>
      <c r="H66" s="1"/>
    </row>
    <row r="67" spans="1:8" x14ac:dyDescent="0.2">
      <c r="A67" s="42"/>
      <c r="H67" s="1"/>
    </row>
    <row r="68" spans="1:8" x14ac:dyDescent="0.2">
      <c r="A68" s="42"/>
      <c r="H68" s="1"/>
    </row>
    <row r="69" spans="1:8" x14ac:dyDescent="0.2">
      <c r="A69" s="42"/>
      <c r="H69" s="1"/>
    </row>
    <row r="70" spans="1:8" x14ac:dyDescent="0.2">
      <c r="A70" s="42"/>
      <c r="H70" s="1"/>
    </row>
    <row r="71" spans="1:8" x14ac:dyDescent="0.2">
      <c r="A71" s="42"/>
      <c r="H71" s="1"/>
    </row>
    <row r="72" spans="1:8" x14ac:dyDescent="0.2">
      <c r="A72" s="42"/>
      <c r="H72" s="1"/>
    </row>
    <row r="73" spans="1:8" x14ac:dyDescent="0.2">
      <c r="A73" s="42"/>
      <c r="H73" s="1"/>
    </row>
    <row r="74" spans="1:8" x14ac:dyDescent="0.2">
      <c r="A74" s="42"/>
      <c r="H74" s="1"/>
    </row>
    <row r="75" spans="1:8" x14ac:dyDescent="0.2">
      <c r="A75" s="42"/>
      <c r="H75" s="1"/>
    </row>
    <row r="76" spans="1:8" x14ac:dyDescent="0.2">
      <c r="A76" s="42"/>
      <c r="H76" s="1"/>
    </row>
    <row r="77" spans="1:8" x14ac:dyDescent="0.2">
      <c r="A77" s="42"/>
      <c r="H77" s="1"/>
    </row>
    <row r="78" spans="1:8" x14ac:dyDescent="0.2">
      <c r="A78" s="42"/>
      <c r="H78" s="1"/>
    </row>
    <row r="79" spans="1:8" x14ac:dyDescent="0.2">
      <c r="A79" s="42"/>
      <c r="H79" s="1"/>
    </row>
    <row r="80" spans="1:8" x14ac:dyDescent="0.2">
      <c r="A80" s="42"/>
      <c r="H80" s="1"/>
    </row>
    <row r="81" spans="1:8" x14ac:dyDescent="0.2">
      <c r="A81" s="42"/>
      <c r="H81" s="1"/>
    </row>
    <row r="82" spans="1:8" x14ac:dyDescent="0.2">
      <c r="A82" s="42"/>
      <c r="H82" s="1"/>
    </row>
    <row r="83" spans="1:8" x14ac:dyDescent="0.2">
      <c r="A83" s="42"/>
      <c r="H83" s="1"/>
    </row>
    <row r="84" spans="1:8" x14ac:dyDescent="0.2">
      <c r="A84" s="42"/>
      <c r="H84" s="1"/>
    </row>
    <row r="85" spans="1:8" x14ac:dyDescent="0.2">
      <c r="A85" s="42"/>
      <c r="H85" s="1"/>
    </row>
    <row r="86" spans="1:8" x14ac:dyDescent="0.2">
      <c r="A86" s="42"/>
      <c r="H86" s="1"/>
    </row>
    <row r="87" spans="1:8" x14ac:dyDescent="0.2">
      <c r="A87" s="42"/>
      <c r="H87" s="1"/>
    </row>
    <row r="88" spans="1:8" x14ac:dyDescent="0.2">
      <c r="A88" s="42"/>
      <c r="H88" s="1"/>
    </row>
    <row r="89" spans="1:8" x14ac:dyDescent="0.2">
      <c r="A89" s="42"/>
      <c r="H89" s="1"/>
    </row>
    <row r="90" spans="1:8" x14ac:dyDescent="0.2">
      <c r="A90" s="42"/>
      <c r="H90" s="1"/>
    </row>
    <row r="91" spans="1:8" x14ac:dyDescent="0.2">
      <c r="A91" s="42"/>
      <c r="H91" s="1"/>
    </row>
    <row r="92" spans="1:8" x14ac:dyDescent="0.2">
      <c r="A92" s="42"/>
      <c r="H92" s="1"/>
    </row>
    <row r="93" spans="1:8" x14ac:dyDescent="0.2">
      <c r="A93" s="42"/>
      <c r="H93" s="1"/>
    </row>
    <row r="94" spans="1:8" x14ac:dyDescent="0.2">
      <c r="A94" s="42"/>
      <c r="H94" s="1"/>
    </row>
    <row r="95" spans="1:8" x14ac:dyDescent="0.2">
      <c r="A95" s="42"/>
      <c r="H95" s="1"/>
    </row>
    <row r="96" spans="1:8" x14ac:dyDescent="0.2">
      <c r="A96" s="42"/>
      <c r="H96" s="1"/>
    </row>
    <row r="97" spans="1:8" x14ac:dyDescent="0.2">
      <c r="A97" s="42"/>
      <c r="H97" s="1"/>
    </row>
    <row r="98" spans="1:8" x14ac:dyDescent="0.2">
      <c r="A98" s="42"/>
      <c r="H98" s="1"/>
    </row>
    <row r="99" spans="1:8" x14ac:dyDescent="0.2">
      <c r="A99" s="42"/>
      <c r="H99" s="1"/>
    </row>
    <row r="100" spans="1:8" x14ac:dyDescent="0.2">
      <c r="A100" s="42"/>
      <c r="H100" s="1"/>
    </row>
    <row r="101" spans="1:8" x14ac:dyDescent="0.2">
      <c r="A101" s="42"/>
      <c r="H101" s="1"/>
    </row>
    <row r="102" spans="1:8" x14ac:dyDescent="0.2">
      <c r="A102" s="42"/>
      <c r="H102" s="1"/>
    </row>
    <row r="103" spans="1:8" x14ac:dyDescent="0.2">
      <c r="A103" s="42"/>
      <c r="H103" s="1"/>
    </row>
    <row r="104" spans="1:8" x14ac:dyDescent="0.2">
      <c r="A104" s="42"/>
      <c r="H104" s="1"/>
    </row>
    <row r="105" spans="1:8" x14ac:dyDescent="0.2">
      <c r="A105" s="42"/>
      <c r="H105" s="1"/>
    </row>
    <row r="106" spans="1:8" x14ac:dyDescent="0.2">
      <c r="A106" s="42"/>
      <c r="H106" s="1"/>
    </row>
    <row r="107" spans="1:8" x14ac:dyDescent="0.2">
      <c r="A107" s="42"/>
      <c r="H107" s="1"/>
    </row>
    <row r="108" spans="1:8" x14ac:dyDescent="0.2">
      <c r="A108" s="42"/>
      <c r="H108" s="1"/>
    </row>
    <row r="109" spans="1:8" x14ac:dyDescent="0.2">
      <c r="A109" s="42"/>
      <c r="H109" s="1"/>
    </row>
    <row r="110" spans="1:8" x14ac:dyDescent="0.2">
      <c r="A110" s="42"/>
      <c r="H110" s="1"/>
    </row>
    <row r="111" spans="1:8" x14ac:dyDescent="0.2">
      <c r="A111" s="42"/>
      <c r="H111" s="1"/>
    </row>
    <row r="112" spans="1:8" x14ac:dyDescent="0.2">
      <c r="A112" s="42"/>
      <c r="H112" s="1"/>
    </row>
    <row r="113" spans="1:8" x14ac:dyDescent="0.2">
      <c r="A113" s="42"/>
      <c r="H113" s="1"/>
    </row>
    <row r="114" spans="1:8" x14ac:dyDescent="0.2">
      <c r="A114" s="42"/>
      <c r="H114" s="1"/>
    </row>
    <row r="115" spans="1:8" x14ac:dyDescent="0.2">
      <c r="A115" s="42"/>
      <c r="H115" s="1"/>
    </row>
    <row r="116" spans="1:8" x14ac:dyDescent="0.2">
      <c r="A116" s="42"/>
      <c r="H116" s="1"/>
    </row>
    <row r="117" spans="1:8" x14ac:dyDescent="0.2">
      <c r="A117" s="42"/>
      <c r="H117" s="1"/>
    </row>
  </sheetData>
  <pageMargins left="0.7" right="0.7" top="0.75" bottom="0.75" header="0.3" footer="0.3"/>
  <pageSetup orientation="portrait" r:id="rId1"/>
  <ignoredErrors>
    <ignoredError sqref="H56" formula="1"/>
  </ignoredError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45"/>
  <sheetViews>
    <sheetView workbookViewId="0">
      <pane ySplit="3" topLeftCell="A45" activePane="bottomLeft" state="frozen"/>
      <selection pane="bottomLeft" activeCell="G79" sqref="G79:G83"/>
    </sheetView>
  </sheetViews>
  <sheetFormatPr defaultRowHeight="12.75" x14ac:dyDescent="0.2"/>
  <cols>
    <col min="1" max="1" width="10.42578125" customWidth="1"/>
    <col min="5" max="5" width="38.28515625" customWidth="1"/>
    <col min="16" max="16" width="17.42578125" customWidth="1"/>
  </cols>
  <sheetData>
    <row r="1" spans="1:16" x14ac:dyDescent="0.2">
      <c r="A1" s="2"/>
      <c r="B1" s="2"/>
      <c r="C1" s="2"/>
      <c r="D1" s="2"/>
      <c r="E1" s="2"/>
      <c r="I1" s="3" t="s">
        <v>24</v>
      </c>
      <c r="J1" s="3"/>
      <c r="K1" s="3"/>
    </row>
    <row r="2" spans="1:16" x14ac:dyDescent="0.2">
      <c r="D2" s="2" t="s">
        <v>113</v>
      </c>
      <c r="F2" s="2" t="s">
        <v>4</v>
      </c>
      <c r="G2" s="2" t="s">
        <v>140</v>
      </c>
      <c r="H2" s="2" t="s">
        <v>3</v>
      </c>
      <c r="J2" s="2" t="s">
        <v>8</v>
      </c>
      <c r="K2" s="2"/>
      <c r="P2" s="21" t="s">
        <v>154</v>
      </c>
    </row>
    <row r="3" spans="1:16" ht="13.5" thickBot="1" x14ac:dyDescent="0.25">
      <c r="A3" s="2" t="s">
        <v>0</v>
      </c>
      <c r="B3" s="2" t="s">
        <v>1</v>
      </c>
      <c r="C3" s="2" t="s">
        <v>108</v>
      </c>
      <c r="D3" s="2" t="s">
        <v>114</v>
      </c>
      <c r="E3" s="2" t="s">
        <v>2</v>
      </c>
      <c r="F3" s="2" t="s">
        <v>26</v>
      </c>
      <c r="G3" s="2" t="s">
        <v>3</v>
      </c>
      <c r="H3" s="2" t="s">
        <v>73</v>
      </c>
      <c r="I3" s="2" t="s">
        <v>5</v>
      </c>
      <c r="J3" s="4" t="s">
        <v>6</v>
      </c>
      <c r="K3" s="4" t="s">
        <v>7</v>
      </c>
      <c r="L3" s="1" t="s">
        <v>109</v>
      </c>
      <c r="M3" s="21" t="s">
        <v>110</v>
      </c>
      <c r="N3" s="21" t="s">
        <v>111</v>
      </c>
      <c r="O3" s="21" t="s">
        <v>112</v>
      </c>
      <c r="P3" s="21" t="s">
        <v>155</v>
      </c>
    </row>
    <row r="4" spans="1:16" x14ac:dyDescent="0.2">
      <c r="A4" s="38">
        <v>42621</v>
      </c>
      <c r="B4" s="1">
        <v>1</v>
      </c>
      <c r="C4" s="16" t="s">
        <v>118</v>
      </c>
      <c r="D4" s="16" t="s">
        <v>116</v>
      </c>
      <c r="E4" s="50" t="s">
        <v>117</v>
      </c>
      <c r="F4" s="16">
        <v>2</v>
      </c>
      <c r="G4" s="16">
        <v>0</v>
      </c>
      <c r="H4" s="39">
        <f t="shared" ref="H4:H21" si="0">G4/F4</f>
        <v>0</v>
      </c>
      <c r="I4" s="16">
        <v>0</v>
      </c>
      <c r="J4" s="36">
        <v>0</v>
      </c>
      <c r="K4" s="36">
        <v>0</v>
      </c>
      <c r="L4" s="1">
        <v>0</v>
      </c>
      <c r="M4" s="21">
        <v>0</v>
      </c>
      <c r="N4" s="21">
        <v>0</v>
      </c>
      <c r="O4" s="21">
        <v>0</v>
      </c>
      <c r="P4" s="21">
        <v>0</v>
      </c>
    </row>
    <row r="5" spans="1:16" x14ac:dyDescent="0.2">
      <c r="A5" s="42">
        <v>42613</v>
      </c>
      <c r="B5" s="1">
        <v>1</v>
      </c>
      <c r="C5" s="33" t="s">
        <v>27</v>
      </c>
      <c r="D5" s="16">
        <v>1</v>
      </c>
      <c r="E5" s="50" t="s">
        <v>9</v>
      </c>
      <c r="F5" s="16">
        <v>6</v>
      </c>
      <c r="G5" s="1">
        <v>0</v>
      </c>
      <c r="H5" s="39">
        <f t="shared" si="0"/>
        <v>0</v>
      </c>
      <c r="I5" s="40">
        <v>8</v>
      </c>
      <c r="J5" s="40">
        <v>0</v>
      </c>
      <c r="K5" s="40">
        <v>0</v>
      </c>
      <c r="L5" s="40">
        <v>0</v>
      </c>
      <c r="M5" s="40">
        <v>0</v>
      </c>
      <c r="N5" s="40">
        <v>0</v>
      </c>
      <c r="O5" s="40">
        <v>0</v>
      </c>
      <c r="P5" s="40">
        <v>0</v>
      </c>
    </row>
    <row r="6" spans="1:16" x14ac:dyDescent="0.2">
      <c r="A6" s="42">
        <v>42620</v>
      </c>
      <c r="B6" s="1">
        <v>2</v>
      </c>
      <c r="C6" s="33" t="s">
        <v>27</v>
      </c>
      <c r="D6" s="16">
        <v>1</v>
      </c>
      <c r="E6" s="50" t="s">
        <v>9</v>
      </c>
      <c r="F6" s="16">
        <v>6</v>
      </c>
      <c r="G6" s="1">
        <v>14</v>
      </c>
      <c r="H6" s="39">
        <f t="shared" si="0"/>
        <v>2.3333333333333335</v>
      </c>
      <c r="I6" s="40">
        <v>17</v>
      </c>
      <c r="J6" s="40">
        <v>4</v>
      </c>
      <c r="K6" s="40">
        <v>1</v>
      </c>
      <c r="L6" s="40">
        <v>2</v>
      </c>
      <c r="M6" s="40">
        <v>2</v>
      </c>
      <c r="N6" s="40">
        <v>0</v>
      </c>
      <c r="O6" s="40">
        <v>1</v>
      </c>
      <c r="P6" s="40">
        <v>0</v>
      </c>
    </row>
    <row r="7" spans="1:16" x14ac:dyDescent="0.2">
      <c r="A7" s="42">
        <v>42625</v>
      </c>
      <c r="B7" s="1">
        <v>3</v>
      </c>
      <c r="C7" s="33" t="s">
        <v>27</v>
      </c>
      <c r="D7" s="16">
        <v>1</v>
      </c>
      <c r="E7" s="50" t="s">
        <v>9</v>
      </c>
      <c r="F7" s="16">
        <v>6</v>
      </c>
      <c r="G7" s="1">
        <v>0</v>
      </c>
      <c r="H7" s="39">
        <f t="shared" si="0"/>
        <v>0</v>
      </c>
      <c r="I7" s="40">
        <v>0</v>
      </c>
      <c r="J7" s="40">
        <v>5</v>
      </c>
      <c r="K7" s="40">
        <v>8</v>
      </c>
      <c r="L7" s="40">
        <v>2</v>
      </c>
      <c r="M7" s="40">
        <v>3</v>
      </c>
      <c r="N7" s="40">
        <v>3</v>
      </c>
      <c r="O7" s="40">
        <v>5</v>
      </c>
      <c r="P7" s="40">
        <v>0</v>
      </c>
    </row>
    <row r="8" spans="1:16" x14ac:dyDescent="0.2">
      <c r="A8" s="42">
        <v>42634</v>
      </c>
      <c r="B8" s="1">
        <v>4</v>
      </c>
      <c r="C8" s="33" t="s">
        <v>27</v>
      </c>
      <c r="D8" s="16">
        <v>1</v>
      </c>
      <c r="E8" s="50" t="s">
        <v>9</v>
      </c>
      <c r="F8" s="16">
        <v>6</v>
      </c>
      <c r="G8" s="1">
        <v>0</v>
      </c>
      <c r="H8" s="39">
        <f t="shared" si="0"/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</row>
    <row r="9" spans="1:16" x14ac:dyDescent="0.2">
      <c r="A9" s="42">
        <v>42613</v>
      </c>
      <c r="B9" s="1">
        <v>1</v>
      </c>
      <c r="C9" s="33" t="s">
        <v>28</v>
      </c>
      <c r="D9" s="16">
        <v>2</v>
      </c>
      <c r="E9" s="50" t="s">
        <v>10</v>
      </c>
      <c r="F9" s="16">
        <v>3</v>
      </c>
      <c r="G9" s="40">
        <v>4</v>
      </c>
      <c r="H9" s="51">
        <f t="shared" si="0"/>
        <v>1.3333333333333333</v>
      </c>
      <c r="I9" s="40">
        <v>10</v>
      </c>
      <c r="J9" s="40">
        <v>1</v>
      </c>
      <c r="K9" s="40">
        <v>0</v>
      </c>
      <c r="L9" s="40">
        <v>0</v>
      </c>
      <c r="M9" s="40">
        <v>1</v>
      </c>
      <c r="N9" s="40">
        <v>0</v>
      </c>
      <c r="O9" s="40">
        <v>0</v>
      </c>
      <c r="P9" s="40">
        <v>0</v>
      </c>
    </row>
    <row r="10" spans="1:16" x14ac:dyDescent="0.2">
      <c r="A10" s="42">
        <v>42620</v>
      </c>
      <c r="B10" s="1">
        <v>2</v>
      </c>
      <c r="C10" s="33" t="s">
        <v>28</v>
      </c>
      <c r="D10" s="16">
        <v>2</v>
      </c>
      <c r="E10" s="50" t="s">
        <v>10</v>
      </c>
      <c r="F10" s="16">
        <v>3</v>
      </c>
      <c r="G10" s="40">
        <v>14</v>
      </c>
      <c r="H10" s="51">
        <f t="shared" si="0"/>
        <v>4.666666666666667</v>
      </c>
      <c r="I10" s="40">
        <v>16</v>
      </c>
      <c r="J10" s="40">
        <v>3</v>
      </c>
      <c r="K10" s="40">
        <v>4</v>
      </c>
      <c r="L10" s="40">
        <v>1</v>
      </c>
      <c r="M10" s="40">
        <v>2</v>
      </c>
      <c r="N10" s="40">
        <v>2</v>
      </c>
      <c r="O10" s="40">
        <v>2</v>
      </c>
      <c r="P10" s="40">
        <v>0</v>
      </c>
    </row>
    <row r="11" spans="1:16" x14ac:dyDescent="0.2">
      <c r="A11" s="42">
        <v>42627</v>
      </c>
      <c r="B11" s="1">
        <v>3</v>
      </c>
      <c r="C11" s="33" t="s">
        <v>28</v>
      </c>
      <c r="D11" s="16">
        <v>2</v>
      </c>
      <c r="E11" s="50" t="s">
        <v>10</v>
      </c>
      <c r="F11" s="16">
        <v>3</v>
      </c>
      <c r="G11" s="40">
        <v>5</v>
      </c>
      <c r="H11" s="51">
        <f t="shared" si="0"/>
        <v>1.6666666666666667</v>
      </c>
      <c r="I11" s="40">
        <v>1</v>
      </c>
      <c r="J11" s="40">
        <v>9</v>
      </c>
      <c r="K11" s="40">
        <v>6</v>
      </c>
      <c r="L11" s="40">
        <v>3</v>
      </c>
      <c r="M11" s="40">
        <v>6</v>
      </c>
      <c r="N11" s="40">
        <v>0</v>
      </c>
      <c r="O11" s="40">
        <v>6</v>
      </c>
      <c r="P11" s="40">
        <v>0</v>
      </c>
    </row>
    <row r="12" spans="1:16" x14ac:dyDescent="0.2">
      <c r="A12" s="42">
        <v>42634</v>
      </c>
      <c r="B12" s="1">
        <v>4</v>
      </c>
      <c r="C12" s="33" t="s">
        <v>28</v>
      </c>
      <c r="D12" s="16">
        <v>2</v>
      </c>
      <c r="E12" s="50" t="s">
        <v>10</v>
      </c>
      <c r="F12" s="16">
        <v>3</v>
      </c>
      <c r="G12" s="40">
        <v>0</v>
      </c>
      <c r="H12" s="51">
        <f t="shared" si="0"/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</row>
    <row r="13" spans="1:16" x14ac:dyDescent="0.2">
      <c r="A13" s="42">
        <v>42613</v>
      </c>
      <c r="B13" s="1">
        <v>1</v>
      </c>
      <c r="C13" s="33" t="s">
        <v>29</v>
      </c>
      <c r="D13" s="16">
        <v>3</v>
      </c>
      <c r="E13" s="50" t="s">
        <v>11</v>
      </c>
      <c r="F13" s="16">
        <v>2</v>
      </c>
      <c r="G13" s="40">
        <v>7</v>
      </c>
      <c r="H13" s="51">
        <f t="shared" si="0"/>
        <v>3.5</v>
      </c>
      <c r="I13" s="40">
        <v>14</v>
      </c>
      <c r="J13" s="40">
        <v>3</v>
      </c>
      <c r="K13" s="40">
        <v>2</v>
      </c>
      <c r="L13" s="40">
        <v>0</v>
      </c>
      <c r="M13" s="40">
        <v>3</v>
      </c>
      <c r="N13" s="40">
        <v>0</v>
      </c>
      <c r="O13" s="40">
        <v>2</v>
      </c>
      <c r="P13" s="40">
        <v>0</v>
      </c>
    </row>
    <row r="14" spans="1:16" x14ac:dyDescent="0.2">
      <c r="A14" s="42">
        <v>42620</v>
      </c>
      <c r="B14" s="1">
        <v>2</v>
      </c>
      <c r="C14" s="33" t="s">
        <v>29</v>
      </c>
      <c r="D14" s="16">
        <v>3</v>
      </c>
      <c r="E14" s="50" t="s">
        <v>11</v>
      </c>
      <c r="F14" s="16">
        <v>2</v>
      </c>
      <c r="G14" s="40">
        <v>5</v>
      </c>
      <c r="H14" s="51">
        <f t="shared" si="0"/>
        <v>2.5</v>
      </c>
      <c r="I14" s="40">
        <v>8</v>
      </c>
      <c r="J14" s="40">
        <v>5</v>
      </c>
      <c r="K14" s="40">
        <v>0</v>
      </c>
      <c r="L14" s="40">
        <v>1</v>
      </c>
      <c r="M14" s="40">
        <v>4</v>
      </c>
      <c r="N14" s="40">
        <v>0</v>
      </c>
      <c r="O14" s="40">
        <v>0</v>
      </c>
      <c r="P14" s="40">
        <v>0</v>
      </c>
    </row>
    <row r="15" spans="1:16" x14ac:dyDescent="0.2">
      <c r="A15" s="42">
        <v>42627</v>
      </c>
      <c r="B15" s="1">
        <v>3</v>
      </c>
      <c r="C15" s="33" t="s">
        <v>29</v>
      </c>
      <c r="D15" s="16">
        <v>3</v>
      </c>
      <c r="E15" s="50" t="s">
        <v>11</v>
      </c>
      <c r="F15" s="16">
        <v>2</v>
      </c>
      <c r="G15" s="40">
        <v>2</v>
      </c>
      <c r="H15" s="51">
        <f t="shared" si="0"/>
        <v>1</v>
      </c>
      <c r="I15" s="40">
        <v>0</v>
      </c>
      <c r="J15" s="40">
        <v>1</v>
      </c>
      <c r="K15" s="40">
        <v>0</v>
      </c>
      <c r="L15" s="40">
        <v>1</v>
      </c>
      <c r="M15" s="40">
        <v>0</v>
      </c>
      <c r="N15" s="40">
        <v>0</v>
      </c>
      <c r="O15" s="40">
        <v>0</v>
      </c>
      <c r="P15" s="40">
        <v>0</v>
      </c>
    </row>
    <row r="16" spans="1:16" x14ac:dyDescent="0.2">
      <c r="A16" s="42">
        <v>42642</v>
      </c>
      <c r="B16" s="1">
        <v>4</v>
      </c>
      <c r="C16" s="33" t="s">
        <v>29</v>
      </c>
      <c r="D16" s="16">
        <v>3</v>
      </c>
      <c r="E16" s="50" t="s">
        <v>11</v>
      </c>
      <c r="F16" s="16">
        <v>2</v>
      </c>
      <c r="G16" s="40">
        <v>0</v>
      </c>
      <c r="H16" s="51">
        <f t="shared" si="0"/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</row>
    <row r="17" spans="1:16" x14ac:dyDescent="0.2">
      <c r="A17" s="42">
        <v>42613</v>
      </c>
      <c r="B17" s="1">
        <v>1</v>
      </c>
      <c r="C17" s="33" t="s">
        <v>30</v>
      </c>
      <c r="D17" s="16">
        <v>4</v>
      </c>
      <c r="E17" s="50" t="s">
        <v>12</v>
      </c>
      <c r="F17" s="16">
        <v>5</v>
      </c>
      <c r="G17" s="40">
        <v>6</v>
      </c>
      <c r="H17" s="51">
        <f t="shared" si="0"/>
        <v>1.2</v>
      </c>
      <c r="I17" s="40">
        <v>11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  <c r="O17" s="40">
        <v>0</v>
      </c>
      <c r="P17" s="40">
        <v>0</v>
      </c>
    </row>
    <row r="18" spans="1:16" x14ac:dyDescent="0.2">
      <c r="A18" s="42">
        <v>42620</v>
      </c>
      <c r="B18" s="1">
        <v>2</v>
      </c>
      <c r="C18" s="33" t="s">
        <v>30</v>
      </c>
      <c r="D18" s="16">
        <v>4</v>
      </c>
      <c r="E18" s="50" t="s">
        <v>12</v>
      </c>
      <c r="F18" s="16">
        <v>5</v>
      </c>
      <c r="G18" s="40">
        <v>4</v>
      </c>
      <c r="H18" s="51">
        <f t="shared" si="0"/>
        <v>0.8</v>
      </c>
      <c r="I18" s="40">
        <v>8</v>
      </c>
      <c r="J18" s="40">
        <v>1</v>
      </c>
      <c r="K18" s="40">
        <v>0</v>
      </c>
      <c r="L18" s="40">
        <v>0</v>
      </c>
      <c r="M18" s="40">
        <v>1</v>
      </c>
      <c r="N18" s="40">
        <v>0</v>
      </c>
      <c r="O18" s="40">
        <v>0</v>
      </c>
      <c r="P18" s="40">
        <v>0</v>
      </c>
    </row>
    <row r="19" spans="1:16" x14ac:dyDescent="0.2">
      <c r="A19" s="42">
        <v>42627</v>
      </c>
      <c r="B19" s="1">
        <v>3</v>
      </c>
      <c r="C19" s="33" t="s">
        <v>30</v>
      </c>
      <c r="D19" s="16">
        <v>4</v>
      </c>
      <c r="E19" s="50" t="s">
        <v>12</v>
      </c>
      <c r="F19" s="16">
        <v>5</v>
      </c>
      <c r="G19" s="40">
        <v>4</v>
      </c>
      <c r="H19" s="51">
        <f t="shared" si="0"/>
        <v>0.8</v>
      </c>
      <c r="I19" s="40">
        <v>2</v>
      </c>
      <c r="J19" s="40">
        <v>11</v>
      </c>
      <c r="K19" s="40">
        <v>0</v>
      </c>
      <c r="L19" s="40">
        <v>4</v>
      </c>
      <c r="M19" s="40">
        <v>7</v>
      </c>
      <c r="N19" s="40">
        <v>0</v>
      </c>
      <c r="O19" s="40">
        <v>0</v>
      </c>
      <c r="P19" s="40">
        <v>0</v>
      </c>
    </row>
    <row r="20" spans="1:16" x14ac:dyDescent="0.2">
      <c r="A20" s="42">
        <v>42642</v>
      </c>
      <c r="B20" s="1">
        <v>4</v>
      </c>
      <c r="C20" s="33" t="s">
        <v>30</v>
      </c>
      <c r="D20" s="16">
        <v>4</v>
      </c>
      <c r="E20" s="50" t="s">
        <v>12</v>
      </c>
      <c r="F20" s="16">
        <v>5</v>
      </c>
      <c r="G20" s="40">
        <v>1</v>
      </c>
      <c r="H20" s="51">
        <f t="shared" si="0"/>
        <v>0.2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</row>
    <row r="21" spans="1:16" x14ac:dyDescent="0.2">
      <c r="A21" s="42">
        <v>42565</v>
      </c>
      <c r="B21" s="1" t="s">
        <v>127</v>
      </c>
      <c r="C21" s="33" t="s">
        <v>31</v>
      </c>
      <c r="D21" s="16">
        <v>5</v>
      </c>
      <c r="E21" s="50" t="s">
        <v>159</v>
      </c>
      <c r="F21" s="16">
        <v>2</v>
      </c>
      <c r="G21" s="40">
        <v>0</v>
      </c>
      <c r="H21" s="51">
        <f t="shared" si="0"/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  <c r="O21" s="40">
        <v>0</v>
      </c>
      <c r="P21" s="40">
        <v>0</v>
      </c>
    </row>
    <row r="22" spans="1:16" x14ac:dyDescent="0.2">
      <c r="A22" s="42">
        <v>42579</v>
      </c>
      <c r="B22" s="1" t="s">
        <v>127</v>
      </c>
      <c r="C22" s="33" t="s">
        <v>31</v>
      </c>
      <c r="D22" s="16">
        <v>5</v>
      </c>
      <c r="E22" s="50" t="s">
        <v>159</v>
      </c>
      <c r="F22" s="16">
        <v>2</v>
      </c>
      <c r="G22" s="40">
        <v>0</v>
      </c>
      <c r="H22" s="51">
        <f t="shared" ref="H22:H84" si="1">G22/F22</f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v>0</v>
      </c>
    </row>
    <row r="23" spans="1:16" x14ac:dyDescent="0.2">
      <c r="A23" s="42">
        <v>42601</v>
      </c>
      <c r="B23" s="1" t="s">
        <v>127</v>
      </c>
      <c r="C23" s="33" t="s">
        <v>31</v>
      </c>
      <c r="D23" s="16">
        <v>5</v>
      </c>
      <c r="E23" s="50" t="s">
        <v>159</v>
      </c>
      <c r="F23" s="16">
        <v>2</v>
      </c>
      <c r="G23" s="40">
        <v>0</v>
      </c>
      <c r="H23" s="51">
        <f t="shared" si="1"/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0">
        <v>0</v>
      </c>
      <c r="O23" s="40">
        <v>0</v>
      </c>
      <c r="P23" s="40">
        <v>0</v>
      </c>
    </row>
    <row r="24" spans="1:16" x14ac:dyDescent="0.2">
      <c r="A24" s="42">
        <v>42608</v>
      </c>
      <c r="B24" s="1">
        <v>1</v>
      </c>
      <c r="C24" s="33" t="s">
        <v>31</v>
      </c>
      <c r="D24" s="16">
        <v>5</v>
      </c>
      <c r="E24" s="50" t="s">
        <v>159</v>
      </c>
      <c r="F24" s="16">
        <v>2</v>
      </c>
      <c r="G24" s="33">
        <v>1</v>
      </c>
      <c r="H24" s="51">
        <f t="shared" si="1"/>
        <v>0.5</v>
      </c>
      <c r="I24" s="33">
        <v>2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</row>
    <row r="25" spans="1:16" x14ac:dyDescent="0.2">
      <c r="A25" s="42">
        <v>42613</v>
      </c>
      <c r="B25" s="1">
        <v>2</v>
      </c>
      <c r="C25" s="33" t="s">
        <v>31</v>
      </c>
      <c r="D25" s="16">
        <v>5</v>
      </c>
      <c r="E25" s="50" t="s">
        <v>159</v>
      </c>
      <c r="F25" s="16">
        <v>2</v>
      </c>
      <c r="G25" s="33">
        <v>2</v>
      </c>
      <c r="H25" s="51">
        <f t="shared" si="1"/>
        <v>1</v>
      </c>
      <c r="I25" s="33">
        <v>6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0</v>
      </c>
    </row>
    <row r="26" spans="1:16" x14ac:dyDescent="0.2">
      <c r="A26" s="42">
        <v>42620</v>
      </c>
      <c r="B26" s="1">
        <v>3</v>
      </c>
      <c r="C26" s="33" t="s">
        <v>31</v>
      </c>
      <c r="D26" s="16">
        <v>5</v>
      </c>
      <c r="E26" s="50" t="s">
        <v>159</v>
      </c>
      <c r="F26" s="16">
        <v>2</v>
      </c>
      <c r="G26" s="33">
        <v>6</v>
      </c>
      <c r="H26" s="51">
        <f t="shared" si="1"/>
        <v>3</v>
      </c>
      <c r="I26" s="33">
        <v>7</v>
      </c>
      <c r="J26" s="33">
        <v>2</v>
      </c>
      <c r="K26" s="33">
        <v>0</v>
      </c>
      <c r="L26" s="33">
        <v>0</v>
      </c>
      <c r="M26" s="33">
        <v>2</v>
      </c>
      <c r="N26" s="33">
        <v>0</v>
      </c>
      <c r="O26" s="33">
        <v>0</v>
      </c>
      <c r="P26" s="33">
        <v>0</v>
      </c>
    </row>
    <row r="27" spans="1:16" x14ac:dyDescent="0.2">
      <c r="A27" s="42">
        <v>42625</v>
      </c>
      <c r="B27" s="1">
        <v>4</v>
      </c>
      <c r="C27" s="33" t="s">
        <v>31</v>
      </c>
      <c r="D27" s="16">
        <v>5</v>
      </c>
      <c r="E27" s="50" t="s">
        <v>159</v>
      </c>
      <c r="F27" s="16">
        <v>2</v>
      </c>
      <c r="G27" s="33">
        <v>1</v>
      </c>
      <c r="H27" s="51">
        <f t="shared" si="1"/>
        <v>0.5</v>
      </c>
      <c r="I27" s="33">
        <v>0</v>
      </c>
      <c r="J27" s="33">
        <v>0</v>
      </c>
      <c r="K27" s="33">
        <v>1</v>
      </c>
      <c r="L27" s="33">
        <v>0</v>
      </c>
      <c r="M27" s="33">
        <v>0</v>
      </c>
      <c r="N27" s="33">
        <v>0</v>
      </c>
      <c r="O27" s="33">
        <v>1</v>
      </c>
      <c r="P27" s="33">
        <v>0</v>
      </c>
    </row>
    <row r="28" spans="1:16" x14ac:dyDescent="0.2">
      <c r="A28" s="42">
        <v>42632</v>
      </c>
      <c r="B28" s="1">
        <v>5</v>
      </c>
      <c r="C28" s="33" t="s">
        <v>31</v>
      </c>
      <c r="D28" s="16">
        <v>5</v>
      </c>
      <c r="E28" s="50" t="s">
        <v>159</v>
      </c>
      <c r="F28" s="16">
        <v>2</v>
      </c>
      <c r="G28" s="33">
        <v>1</v>
      </c>
      <c r="H28" s="51">
        <f t="shared" si="1"/>
        <v>0.5</v>
      </c>
      <c r="I28" s="33">
        <v>0</v>
      </c>
      <c r="J28" s="33">
        <v>2</v>
      </c>
      <c r="K28" s="33">
        <v>1</v>
      </c>
      <c r="L28" s="33">
        <v>0</v>
      </c>
      <c r="M28" s="33">
        <v>2</v>
      </c>
      <c r="N28" s="33">
        <v>1</v>
      </c>
      <c r="O28" s="33">
        <v>0</v>
      </c>
      <c r="P28" s="33">
        <v>0</v>
      </c>
    </row>
    <row r="29" spans="1:16" x14ac:dyDescent="0.2">
      <c r="A29" s="42">
        <v>42639</v>
      </c>
      <c r="B29" s="1">
        <v>6</v>
      </c>
      <c r="C29" s="33" t="s">
        <v>31</v>
      </c>
      <c r="D29" s="16">
        <v>5</v>
      </c>
      <c r="E29" s="50" t="s">
        <v>159</v>
      </c>
      <c r="F29" s="16">
        <v>2</v>
      </c>
      <c r="G29" s="33">
        <v>0</v>
      </c>
      <c r="H29" s="51">
        <f t="shared" si="1"/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</row>
    <row r="30" spans="1:16" x14ac:dyDescent="0.2">
      <c r="A30" s="42">
        <v>42565</v>
      </c>
      <c r="B30" s="1" t="s">
        <v>127</v>
      </c>
      <c r="C30" s="33" t="s">
        <v>32</v>
      </c>
      <c r="D30" s="16">
        <v>6</v>
      </c>
      <c r="E30" s="50" t="s">
        <v>14</v>
      </c>
      <c r="F30" s="16">
        <v>4</v>
      </c>
      <c r="G30" s="40">
        <v>0</v>
      </c>
      <c r="H30" s="51">
        <f t="shared" si="1"/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</row>
    <row r="31" spans="1:16" x14ac:dyDescent="0.2">
      <c r="A31" s="42">
        <v>42579</v>
      </c>
      <c r="B31" s="1" t="s">
        <v>127</v>
      </c>
      <c r="C31" s="33" t="s">
        <v>32</v>
      </c>
      <c r="D31" s="16">
        <v>6</v>
      </c>
      <c r="E31" s="50" t="s">
        <v>14</v>
      </c>
      <c r="F31" s="16">
        <v>4</v>
      </c>
      <c r="G31" s="40">
        <v>0</v>
      </c>
      <c r="H31" s="51">
        <f t="shared" si="1"/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40">
        <v>0</v>
      </c>
    </row>
    <row r="32" spans="1:16" x14ac:dyDescent="0.2">
      <c r="A32" s="42">
        <v>42601</v>
      </c>
      <c r="B32" s="1" t="s">
        <v>127</v>
      </c>
      <c r="C32" s="33" t="s">
        <v>32</v>
      </c>
      <c r="D32" s="16">
        <v>6</v>
      </c>
      <c r="E32" s="50" t="s">
        <v>14</v>
      </c>
      <c r="F32" s="16">
        <v>4</v>
      </c>
      <c r="G32" s="40">
        <v>0</v>
      </c>
      <c r="H32" s="51">
        <f t="shared" si="1"/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</row>
    <row r="33" spans="1:16" x14ac:dyDescent="0.2">
      <c r="A33" s="38">
        <v>42608</v>
      </c>
      <c r="B33" s="1">
        <v>1</v>
      </c>
      <c r="C33" s="33" t="s">
        <v>32</v>
      </c>
      <c r="D33" s="16">
        <v>6</v>
      </c>
      <c r="E33" s="50" t="s">
        <v>14</v>
      </c>
      <c r="F33" s="16">
        <v>4</v>
      </c>
      <c r="G33" s="40">
        <v>0</v>
      </c>
      <c r="H33" s="51">
        <f t="shared" si="1"/>
        <v>0</v>
      </c>
      <c r="I33" s="40">
        <v>0</v>
      </c>
      <c r="J33" s="40">
        <v>0</v>
      </c>
      <c r="K33" s="40">
        <v>1</v>
      </c>
      <c r="L33" s="40">
        <v>0</v>
      </c>
      <c r="M33" s="40">
        <v>0</v>
      </c>
      <c r="N33" s="40">
        <v>1</v>
      </c>
      <c r="O33" s="40">
        <v>0</v>
      </c>
      <c r="P33" s="40">
        <v>0</v>
      </c>
    </row>
    <row r="34" spans="1:16" x14ac:dyDescent="0.2">
      <c r="A34" s="38">
        <v>42613</v>
      </c>
      <c r="B34" s="1">
        <v>2</v>
      </c>
      <c r="C34" s="33" t="s">
        <v>32</v>
      </c>
      <c r="D34" s="16">
        <v>6</v>
      </c>
      <c r="E34" s="50" t="s">
        <v>14</v>
      </c>
      <c r="F34" s="16">
        <v>4</v>
      </c>
      <c r="G34" s="40">
        <v>0</v>
      </c>
      <c r="H34" s="51">
        <f t="shared" si="1"/>
        <v>0</v>
      </c>
      <c r="I34" s="40">
        <v>1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</row>
    <row r="35" spans="1:16" x14ac:dyDescent="0.2">
      <c r="A35" s="38">
        <v>42620</v>
      </c>
      <c r="B35" s="1">
        <v>3</v>
      </c>
      <c r="C35" s="33" t="s">
        <v>32</v>
      </c>
      <c r="D35" s="16">
        <v>6</v>
      </c>
      <c r="E35" s="50" t="s">
        <v>14</v>
      </c>
      <c r="F35" s="16">
        <v>4</v>
      </c>
      <c r="G35" s="40">
        <v>0</v>
      </c>
      <c r="H35" s="51">
        <f t="shared" si="1"/>
        <v>0</v>
      </c>
      <c r="I35" s="40">
        <v>1</v>
      </c>
      <c r="J35" s="40">
        <v>1</v>
      </c>
      <c r="K35" s="40">
        <v>0</v>
      </c>
      <c r="L35" s="40">
        <v>1</v>
      </c>
      <c r="M35" s="40">
        <v>0</v>
      </c>
      <c r="N35" s="40">
        <v>0</v>
      </c>
      <c r="O35" s="40">
        <v>0</v>
      </c>
      <c r="P35" s="40">
        <v>0</v>
      </c>
    </row>
    <row r="36" spans="1:16" x14ac:dyDescent="0.2">
      <c r="A36" s="38">
        <v>42625</v>
      </c>
      <c r="B36" s="1">
        <v>4</v>
      </c>
      <c r="C36" s="33" t="s">
        <v>32</v>
      </c>
      <c r="D36" s="16">
        <v>6</v>
      </c>
      <c r="E36" s="50" t="s">
        <v>14</v>
      </c>
      <c r="F36" s="16">
        <v>4</v>
      </c>
      <c r="G36" s="40">
        <v>0</v>
      </c>
      <c r="H36" s="51">
        <f t="shared" si="1"/>
        <v>0</v>
      </c>
      <c r="I36" s="40">
        <v>1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</row>
    <row r="37" spans="1:16" x14ac:dyDescent="0.2">
      <c r="A37" s="38">
        <v>42632</v>
      </c>
      <c r="B37" s="1">
        <v>5</v>
      </c>
      <c r="C37" s="33" t="s">
        <v>32</v>
      </c>
      <c r="D37" s="16">
        <v>6</v>
      </c>
      <c r="E37" s="50" t="s">
        <v>14</v>
      </c>
      <c r="F37" s="16">
        <v>4</v>
      </c>
      <c r="G37" s="40">
        <v>0</v>
      </c>
      <c r="H37" s="51">
        <f t="shared" si="1"/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40">
        <v>0</v>
      </c>
    </row>
    <row r="38" spans="1:16" x14ac:dyDescent="0.2">
      <c r="A38" s="38">
        <v>42639</v>
      </c>
      <c r="B38" s="1">
        <v>6</v>
      </c>
      <c r="C38" s="33" t="s">
        <v>32</v>
      </c>
      <c r="D38" s="16">
        <v>6</v>
      </c>
      <c r="E38" s="50" t="s">
        <v>14</v>
      </c>
      <c r="F38" s="16">
        <v>4</v>
      </c>
      <c r="G38" s="40">
        <v>0</v>
      </c>
      <c r="H38" s="51">
        <f t="shared" si="1"/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</row>
    <row r="39" spans="1:16" x14ac:dyDescent="0.2">
      <c r="A39" s="42">
        <v>42565</v>
      </c>
      <c r="B39" s="1" t="s">
        <v>127</v>
      </c>
      <c r="C39" s="33" t="s">
        <v>33</v>
      </c>
      <c r="D39" s="16">
        <v>7</v>
      </c>
      <c r="E39" s="50" t="s">
        <v>15</v>
      </c>
      <c r="F39" s="16">
        <v>3</v>
      </c>
      <c r="G39" s="33">
        <v>0</v>
      </c>
      <c r="H39" s="51">
        <f t="shared" si="1"/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v>0</v>
      </c>
    </row>
    <row r="40" spans="1:16" x14ac:dyDescent="0.2">
      <c r="A40" s="42">
        <v>42601</v>
      </c>
      <c r="B40" s="1" t="s">
        <v>127</v>
      </c>
      <c r="C40" s="33" t="s">
        <v>33</v>
      </c>
      <c r="D40" s="16">
        <v>7</v>
      </c>
      <c r="E40" s="50" t="s">
        <v>15</v>
      </c>
      <c r="F40" s="16">
        <v>3</v>
      </c>
      <c r="G40" s="33">
        <v>0</v>
      </c>
      <c r="H40" s="51">
        <f t="shared" si="1"/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</row>
    <row r="41" spans="1:16" x14ac:dyDescent="0.2">
      <c r="A41" s="42">
        <v>42613</v>
      </c>
      <c r="B41" s="1">
        <v>1</v>
      </c>
      <c r="C41" s="33" t="s">
        <v>33</v>
      </c>
      <c r="D41" s="16">
        <v>7</v>
      </c>
      <c r="E41" s="50" t="s">
        <v>15</v>
      </c>
      <c r="F41" s="16">
        <v>3</v>
      </c>
      <c r="G41" s="33">
        <v>0</v>
      </c>
      <c r="H41" s="51">
        <f t="shared" si="1"/>
        <v>0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  <c r="O41" s="40">
        <v>0</v>
      </c>
      <c r="P41" s="40">
        <v>0</v>
      </c>
    </row>
    <row r="42" spans="1:16" x14ac:dyDescent="0.2">
      <c r="A42" s="42">
        <v>42620</v>
      </c>
      <c r="B42" s="1">
        <v>2</v>
      </c>
      <c r="C42" s="33" t="s">
        <v>33</v>
      </c>
      <c r="D42" s="16">
        <v>7</v>
      </c>
      <c r="E42" s="50" t="s">
        <v>15</v>
      </c>
      <c r="F42" s="16">
        <v>3</v>
      </c>
      <c r="G42" s="33">
        <v>0</v>
      </c>
      <c r="H42" s="51">
        <f t="shared" si="1"/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</row>
    <row r="43" spans="1:16" x14ac:dyDescent="0.2">
      <c r="A43" s="42">
        <v>42627</v>
      </c>
      <c r="B43" s="1">
        <v>3</v>
      </c>
      <c r="C43" s="33" t="s">
        <v>33</v>
      </c>
      <c r="D43" s="16">
        <v>7</v>
      </c>
      <c r="E43" s="50" t="s">
        <v>15</v>
      </c>
      <c r="F43" s="16">
        <v>3</v>
      </c>
      <c r="G43" s="33">
        <v>3</v>
      </c>
      <c r="H43" s="51">
        <f t="shared" si="1"/>
        <v>1</v>
      </c>
      <c r="I43" s="40">
        <v>1</v>
      </c>
      <c r="J43" s="40">
        <v>1</v>
      </c>
      <c r="K43" s="40">
        <v>1</v>
      </c>
      <c r="L43" s="40">
        <v>0</v>
      </c>
      <c r="M43" s="40">
        <v>1</v>
      </c>
      <c r="N43" s="40">
        <v>0</v>
      </c>
      <c r="O43" s="40">
        <v>1</v>
      </c>
      <c r="P43" s="40">
        <v>0</v>
      </c>
    </row>
    <row r="44" spans="1:16" x14ac:dyDescent="0.2">
      <c r="A44" s="42">
        <v>42635</v>
      </c>
      <c r="B44" s="1">
        <v>4</v>
      </c>
      <c r="C44" s="33" t="s">
        <v>33</v>
      </c>
      <c r="D44" s="16">
        <v>7</v>
      </c>
      <c r="E44" s="50" t="s">
        <v>15</v>
      </c>
      <c r="F44" s="16">
        <v>3</v>
      </c>
      <c r="G44" s="33">
        <v>3</v>
      </c>
      <c r="H44" s="51">
        <f t="shared" si="1"/>
        <v>1</v>
      </c>
      <c r="I44" s="40">
        <v>0</v>
      </c>
      <c r="J44" s="40">
        <v>1</v>
      </c>
      <c r="K44" s="40">
        <v>1</v>
      </c>
      <c r="L44" s="40">
        <v>1</v>
      </c>
      <c r="M44" s="40">
        <v>0</v>
      </c>
      <c r="N44" s="40">
        <v>0</v>
      </c>
      <c r="O44" s="40">
        <v>1</v>
      </c>
      <c r="P44" s="40">
        <v>0</v>
      </c>
    </row>
    <row r="45" spans="1:16" x14ac:dyDescent="0.2">
      <c r="A45" s="42">
        <v>42565</v>
      </c>
      <c r="B45" s="1" t="s">
        <v>127</v>
      </c>
      <c r="C45" s="33" t="s">
        <v>34</v>
      </c>
      <c r="D45" s="16">
        <v>8</v>
      </c>
      <c r="E45" s="50" t="s">
        <v>16</v>
      </c>
      <c r="F45" s="33">
        <v>3</v>
      </c>
      <c r="G45" s="33">
        <v>0</v>
      </c>
      <c r="H45" s="51">
        <f t="shared" si="1"/>
        <v>0</v>
      </c>
      <c r="I45" s="40">
        <v>15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40">
        <v>0</v>
      </c>
    </row>
    <row r="46" spans="1:16" x14ac:dyDescent="0.2">
      <c r="A46" s="42">
        <v>42573</v>
      </c>
      <c r="B46" s="1" t="s">
        <v>127</v>
      </c>
      <c r="C46" s="33" t="s">
        <v>34</v>
      </c>
      <c r="D46" s="16">
        <v>8</v>
      </c>
      <c r="E46" s="50" t="s">
        <v>16</v>
      </c>
      <c r="F46" s="33">
        <v>3</v>
      </c>
      <c r="G46" s="33">
        <v>0</v>
      </c>
      <c r="H46" s="51">
        <f t="shared" si="1"/>
        <v>0</v>
      </c>
      <c r="I46" s="40">
        <v>17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1</v>
      </c>
    </row>
    <row r="47" spans="1:16" x14ac:dyDescent="0.2">
      <c r="A47" s="42">
        <v>42580</v>
      </c>
      <c r="B47" s="1" t="s">
        <v>127</v>
      </c>
      <c r="C47" s="33" t="s">
        <v>34</v>
      </c>
      <c r="D47" s="16">
        <v>8</v>
      </c>
      <c r="E47" s="50" t="s">
        <v>16</v>
      </c>
      <c r="F47" s="33">
        <v>3</v>
      </c>
      <c r="G47" s="33">
        <v>0</v>
      </c>
      <c r="H47" s="51">
        <f t="shared" si="1"/>
        <v>0</v>
      </c>
      <c r="I47" s="40">
        <v>24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  <c r="P47" s="40">
        <v>0</v>
      </c>
    </row>
    <row r="48" spans="1:16" x14ac:dyDescent="0.2">
      <c r="A48" s="38">
        <v>42601</v>
      </c>
      <c r="B48" s="1" t="s">
        <v>127</v>
      </c>
      <c r="C48" s="33" t="s">
        <v>34</v>
      </c>
      <c r="D48" s="16">
        <v>8</v>
      </c>
      <c r="E48" s="50" t="s">
        <v>16</v>
      </c>
      <c r="F48" s="33">
        <v>3</v>
      </c>
      <c r="G48" s="33">
        <v>0</v>
      </c>
      <c r="H48" s="51">
        <f t="shared" si="1"/>
        <v>0</v>
      </c>
      <c r="I48" s="40">
        <v>8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</row>
    <row r="49" spans="1:16" x14ac:dyDescent="0.2">
      <c r="A49" s="38">
        <v>42613</v>
      </c>
      <c r="B49" s="1">
        <v>1</v>
      </c>
      <c r="C49" s="33" t="s">
        <v>34</v>
      </c>
      <c r="D49" s="16">
        <v>8</v>
      </c>
      <c r="E49" s="50" t="s">
        <v>16</v>
      </c>
      <c r="F49" s="33">
        <v>3</v>
      </c>
      <c r="G49" s="33">
        <v>5</v>
      </c>
      <c r="H49" s="51">
        <f t="shared" si="1"/>
        <v>1.6666666666666667</v>
      </c>
      <c r="I49" s="40">
        <v>13</v>
      </c>
      <c r="J49" s="40">
        <v>4</v>
      </c>
      <c r="K49" s="40">
        <v>0</v>
      </c>
      <c r="L49" s="40">
        <v>2</v>
      </c>
      <c r="M49" s="40">
        <v>2</v>
      </c>
      <c r="N49" s="40">
        <v>0</v>
      </c>
      <c r="O49" s="40">
        <v>0</v>
      </c>
      <c r="P49" s="40">
        <v>0</v>
      </c>
    </row>
    <row r="50" spans="1:16" x14ac:dyDescent="0.2">
      <c r="A50" s="38">
        <v>42620</v>
      </c>
      <c r="B50" s="1">
        <v>2</v>
      </c>
      <c r="C50" s="33" t="s">
        <v>34</v>
      </c>
      <c r="D50" s="16">
        <v>8</v>
      </c>
      <c r="E50" s="50" t="s">
        <v>16</v>
      </c>
      <c r="F50" s="33">
        <v>3</v>
      </c>
      <c r="G50" s="33">
        <v>12</v>
      </c>
      <c r="H50" s="51">
        <f t="shared" si="1"/>
        <v>4</v>
      </c>
      <c r="I50" s="40">
        <v>29</v>
      </c>
      <c r="J50" s="40">
        <v>4</v>
      </c>
      <c r="K50" s="40">
        <v>2</v>
      </c>
      <c r="L50" s="40">
        <v>2</v>
      </c>
      <c r="M50" s="40">
        <v>2</v>
      </c>
      <c r="N50" s="40">
        <v>0</v>
      </c>
      <c r="O50" s="40">
        <v>2</v>
      </c>
      <c r="P50" s="40">
        <v>0</v>
      </c>
    </row>
    <row r="51" spans="1:16" x14ac:dyDescent="0.2">
      <c r="A51" s="38">
        <v>42627</v>
      </c>
      <c r="B51" s="1">
        <v>3</v>
      </c>
      <c r="C51" s="33" t="s">
        <v>34</v>
      </c>
      <c r="D51" s="16">
        <v>8</v>
      </c>
      <c r="E51" s="50" t="s">
        <v>16</v>
      </c>
      <c r="F51" s="33">
        <v>3</v>
      </c>
      <c r="G51" s="33">
        <v>15</v>
      </c>
      <c r="H51" s="51">
        <f t="shared" si="1"/>
        <v>5</v>
      </c>
      <c r="I51" s="40">
        <v>8</v>
      </c>
      <c r="J51" s="40">
        <v>13</v>
      </c>
      <c r="K51" s="40">
        <v>9</v>
      </c>
      <c r="L51" s="40">
        <v>5</v>
      </c>
      <c r="M51" s="40">
        <v>8</v>
      </c>
      <c r="N51" s="40">
        <v>4</v>
      </c>
      <c r="O51" s="40">
        <v>5</v>
      </c>
      <c r="P51" s="40">
        <v>0</v>
      </c>
    </row>
    <row r="52" spans="1:16" x14ac:dyDescent="0.2">
      <c r="A52" s="38">
        <v>42635</v>
      </c>
      <c r="B52" s="1">
        <v>4</v>
      </c>
      <c r="C52" s="33" t="s">
        <v>34</v>
      </c>
      <c r="D52" s="16">
        <v>8</v>
      </c>
      <c r="E52" s="50" t="s">
        <v>16</v>
      </c>
      <c r="F52" s="33">
        <v>3</v>
      </c>
      <c r="G52" s="33">
        <v>1</v>
      </c>
      <c r="H52" s="51">
        <f t="shared" si="1"/>
        <v>0.33333333333333331</v>
      </c>
      <c r="I52" s="40">
        <v>0</v>
      </c>
      <c r="J52" s="40">
        <v>1</v>
      </c>
      <c r="K52" s="40">
        <v>1</v>
      </c>
      <c r="L52" s="40">
        <v>0</v>
      </c>
      <c r="M52" s="40">
        <v>1</v>
      </c>
      <c r="N52" s="40">
        <v>0</v>
      </c>
      <c r="O52" s="40">
        <v>1</v>
      </c>
      <c r="P52" s="40">
        <v>0</v>
      </c>
    </row>
    <row r="53" spans="1:16" x14ac:dyDescent="0.2">
      <c r="A53" s="42">
        <v>42544</v>
      </c>
      <c r="B53" s="1" t="s">
        <v>127</v>
      </c>
      <c r="C53" s="33" t="s">
        <v>35</v>
      </c>
      <c r="D53" s="16">
        <v>9</v>
      </c>
      <c r="E53" s="50" t="s">
        <v>17</v>
      </c>
      <c r="F53" s="16">
        <v>4</v>
      </c>
      <c r="G53" s="33">
        <v>0</v>
      </c>
      <c r="H53" s="51">
        <f t="shared" si="1"/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s="40">
        <v>0</v>
      </c>
    </row>
    <row r="54" spans="1:16" x14ac:dyDescent="0.2">
      <c r="A54" s="38">
        <v>42579</v>
      </c>
      <c r="B54" s="1" t="s">
        <v>127</v>
      </c>
      <c r="C54" s="33" t="s">
        <v>35</v>
      </c>
      <c r="D54" s="16">
        <v>9</v>
      </c>
      <c r="E54" s="50" t="s">
        <v>17</v>
      </c>
      <c r="F54" s="16">
        <v>4</v>
      </c>
      <c r="G54" s="33">
        <v>0</v>
      </c>
      <c r="H54" s="51">
        <f t="shared" si="1"/>
        <v>0</v>
      </c>
      <c r="I54" s="40">
        <v>2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</row>
    <row r="55" spans="1:16" x14ac:dyDescent="0.2">
      <c r="A55" s="38">
        <v>42621</v>
      </c>
      <c r="B55" s="1">
        <v>1</v>
      </c>
      <c r="C55" s="33" t="s">
        <v>35</v>
      </c>
      <c r="D55" s="16">
        <v>9</v>
      </c>
      <c r="E55" s="50" t="s">
        <v>17</v>
      </c>
      <c r="F55" s="16">
        <v>4</v>
      </c>
      <c r="G55" s="33">
        <v>2</v>
      </c>
      <c r="H55" s="51">
        <f t="shared" si="1"/>
        <v>0.5</v>
      </c>
      <c r="I55" s="40">
        <v>3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0">
        <v>0</v>
      </c>
      <c r="P55" s="40">
        <v>0</v>
      </c>
    </row>
    <row r="56" spans="1:16" x14ac:dyDescent="0.2">
      <c r="A56" s="38">
        <v>42628</v>
      </c>
      <c r="B56" s="1">
        <v>2</v>
      </c>
      <c r="C56" s="33" t="s">
        <v>35</v>
      </c>
      <c r="D56" s="16">
        <v>9</v>
      </c>
      <c r="E56" s="50" t="s">
        <v>17</v>
      </c>
      <c r="F56" s="16">
        <v>4</v>
      </c>
      <c r="G56" s="33">
        <v>4</v>
      </c>
      <c r="H56" s="51">
        <f t="shared" si="1"/>
        <v>1</v>
      </c>
      <c r="I56" s="40">
        <v>3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</row>
    <row r="57" spans="1:16" x14ac:dyDescent="0.2">
      <c r="A57" s="38">
        <v>42632</v>
      </c>
      <c r="B57" s="1">
        <v>3</v>
      </c>
      <c r="C57" s="33" t="s">
        <v>35</v>
      </c>
      <c r="D57" s="16">
        <v>9</v>
      </c>
      <c r="E57" s="50" t="s">
        <v>17</v>
      </c>
      <c r="F57" s="16">
        <v>4</v>
      </c>
      <c r="G57" s="33">
        <v>2</v>
      </c>
      <c r="H57" s="51">
        <f t="shared" si="1"/>
        <v>0.5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0">
        <v>0</v>
      </c>
    </row>
    <row r="58" spans="1:16" x14ac:dyDescent="0.2">
      <c r="A58" s="38">
        <v>42635</v>
      </c>
      <c r="B58" s="1">
        <v>4</v>
      </c>
      <c r="C58" s="33" t="s">
        <v>35</v>
      </c>
      <c r="D58" s="16">
        <v>9</v>
      </c>
      <c r="E58" s="50" t="s">
        <v>17</v>
      </c>
      <c r="F58" s="16">
        <v>4</v>
      </c>
      <c r="G58" s="33">
        <v>0</v>
      </c>
      <c r="H58" s="51">
        <f t="shared" si="1"/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</row>
    <row r="59" spans="1:16" x14ac:dyDescent="0.2">
      <c r="A59" s="42">
        <v>42544</v>
      </c>
      <c r="B59" s="1" t="s">
        <v>127</v>
      </c>
      <c r="C59" s="33" t="s">
        <v>36</v>
      </c>
      <c r="D59" s="16">
        <v>10</v>
      </c>
      <c r="E59" s="50" t="s">
        <v>18</v>
      </c>
      <c r="F59" s="46">
        <v>5</v>
      </c>
      <c r="G59" s="53">
        <v>0</v>
      </c>
      <c r="H59" s="51">
        <f t="shared" si="1"/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</row>
    <row r="60" spans="1:16" x14ac:dyDescent="0.2">
      <c r="A60" s="42">
        <v>42570</v>
      </c>
      <c r="B60" s="1" t="s">
        <v>127</v>
      </c>
      <c r="C60" s="33" t="s">
        <v>36</v>
      </c>
      <c r="D60" s="16">
        <v>10</v>
      </c>
      <c r="E60" s="50" t="s">
        <v>18</v>
      </c>
      <c r="F60" s="46">
        <v>5</v>
      </c>
      <c r="G60" s="53">
        <v>0</v>
      </c>
      <c r="H60" s="51">
        <f t="shared" si="1"/>
        <v>0</v>
      </c>
      <c r="I60" s="40">
        <v>2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</row>
    <row r="61" spans="1:16" x14ac:dyDescent="0.2">
      <c r="A61" s="42">
        <v>42579</v>
      </c>
      <c r="B61" s="1" t="s">
        <v>127</v>
      </c>
      <c r="C61" s="33" t="s">
        <v>36</v>
      </c>
      <c r="D61" s="16">
        <v>10</v>
      </c>
      <c r="E61" s="50" t="s">
        <v>18</v>
      </c>
      <c r="F61" s="46">
        <v>5</v>
      </c>
      <c r="G61" s="53">
        <v>0</v>
      </c>
      <c r="H61" s="51">
        <f t="shared" si="1"/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</row>
    <row r="62" spans="1:16" x14ac:dyDescent="0.2">
      <c r="A62" s="42">
        <v>42621</v>
      </c>
      <c r="B62" s="1">
        <v>1</v>
      </c>
      <c r="C62" s="33" t="s">
        <v>36</v>
      </c>
      <c r="D62" s="16">
        <v>10</v>
      </c>
      <c r="E62" s="50" t="s">
        <v>18</v>
      </c>
      <c r="F62" s="46">
        <v>5</v>
      </c>
      <c r="G62" s="53">
        <v>2</v>
      </c>
      <c r="H62" s="51">
        <f t="shared" si="1"/>
        <v>0.4</v>
      </c>
      <c r="I62" s="40">
        <v>4</v>
      </c>
      <c r="J62" s="40">
        <v>0</v>
      </c>
      <c r="K62" s="40">
        <v>1</v>
      </c>
      <c r="L62" s="40">
        <v>0</v>
      </c>
      <c r="M62" s="40">
        <v>0</v>
      </c>
      <c r="N62" s="40">
        <v>0</v>
      </c>
      <c r="O62" s="40">
        <v>1</v>
      </c>
      <c r="P62" s="40">
        <v>0</v>
      </c>
    </row>
    <row r="63" spans="1:16" x14ac:dyDescent="0.2">
      <c r="A63" s="42">
        <v>42628</v>
      </c>
      <c r="B63" s="1">
        <v>2</v>
      </c>
      <c r="C63" s="33" t="s">
        <v>36</v>
      </c>
      <c r="D63" s="16">
        <v>10</v>
      </c>
      <c r="E63" s="50" t="s">
        <v>18</v>
      </c>
      <c r="F63" s="46">
        <v>5</v>
      </c>
      <c r="G63" s="53">
        <v>9</v>
      </c>
      <c r="H63" s="51">
        <f t="shared" si="1"/>
        <v>1.8</v>
      </c>
      <c r="I63" s="40">
        <v>4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  <c r="P63" s="40">
        <v>0</v>
      </c>
    </row>
    <row r="64" spans="1:16" x14ac:dyDescent="0.2">
      <c r="A64" s="42">
        <v>42632</v>
      </c>
      <c r="B64" s="1">
        <v>3</v>
      </c>
      <c r="C64" s="33" t="s">
        <v>36</v>
      </c>
      <c r="D64" s="16">
        <v>10</v>
      </c>
      <c r="E64" s="50" t="s">
        <v>18</v>
      </c>
      <c r="F64" s="46">
        <v>5</v>
      </c>
      <c r="G64" s="53">
        <v>1</v>
      </c>
      <c r="H64" s="51">
        <f t="shared" si="1"/>
        <v>0.2</v>
      </c>
      <c r="I64" s="40">
        <v>1</v>
      </c>
      <c r="J64" s="40">
        <v>1</v>
      </c>
      <c r="K64" s="40">
        <v>0</v>
      </c>
      <c r="L64" s="40">
        <v>1</v>
      </c>
      <c r="M64" s="40">
        <v>0</v>
      </c>
      <c r="N64" s="40">
        <v>0</v>
      </c>
      <c r="O64" s="40">
        <v>0</v>
      </c>
      <c r="P64" s="40">
        <v>0</v>
      </c>
    </row>
    <row r="65" spans="1:16" x14ac:dyDescent="0.2">
      <c r="A65" s="42">
        <v>42643</v>
      </c>
      <c r="B65" s="1">
        <v>4</v>
      </c>
      <c r="C65" s="33" t="s">
        <v>36</v>
      </c>
      <c r="D65" s="16">
        <v>10</v>
      </c>
      <c r="E65" s="50" t="s">
        <v>18</v>
      </c>
      <c r="F65" s="46">
        <v>5</v>
      </c>
      <c r="G65" s="53">
        <v>2</v>
      </c>
      <c r="H65" s="51">
        <f t="shared" si="1"/>
        <v>0.4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40">
        <v>0</v>
      </c>
      <c r="P65" s="40">
        <v>0</v>
      </c>
    </row>
    <row r="66" spans="1:16" x14ac:dyDescent="0.2">
      <c r="A66" s="42">
        <v>42621</v>
      </c>
      <c r="B66" s="1">
        <v>1</v>
      </c>
      <c r="C66" s="33" t="s">
        <v>37</v>
      </c>
      <c r="D66" s="16">
        <v>11</v>
      </c>
      <c r="E66" s="50" t="s">
        <v>19</v>
      </c>
      <c r="F66" s="16">
        <v>4</v>
      </c>
      <c r="G66" s="33">
        <v>2</v>
      </c>
      <c r="H66" s="51">
        <f t="shared" si="1"/>
        <v>0.5</v>
      </c>
      <c r="I66" s="40">
        <v>1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</row>
    <row r="67" spans="1:16" x14ac:dyDescent="0.2">
      <c r="A67" s="42">
        <v>42628</v>
      </c>
      <c r="B67" s="1">
        <v>2</v>
      </c>
      <c r="C67" s="33" t="s">
        <v>37</v>
      </c>
      <c r="D67" s="16">
        <v>11</v>
      </c>
      <c r="E67" s="50" t="s">
        <v>19</v>
      </c>
      <c r="F67" s="16">
        <v>4</v>
      </c>
      <c r="G67" s="33">
        <v>0</v>
      </c>
      <c r="H67" s="51">
        <f t="shared" si="1"/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  <c r="O67" s="40">
        <v>0</v>
      </c>
      <c r="P67" s="40">
        <v>0</v>
      </c>
    </row>
    <row r="68" spans="1:16" x14ac:dyDescent="0.2">
      <c r="A68" s="42">
        <v>42634</v>
      </c>
      <c r="B68" s="1">
        <v>3</v>
      </c>
      <c r="C68" s="33" t="s">
        <v>37</v>
      </c>
      <c r="D68" s="16">
        <v>11</v>
      </c>
      <c r="E68" s="50" t="s">
        <v>19</v>
      </c>
      <c r="F68" s="16">
        <v>4</v>
      </c>
      <c r="G68" s="33">
        <v>1</v>
      </c>
      <c r="H68" s="51">
        <f t="shared" si="1"/>
        <v>0.25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</row>
    <row r="69" spans="1:16" x14ac:dyDescent="0.2">
      <c r="A69" s="42">
        <v>42622</v>
      </c>
      <c r="B69" s="1">
        <v>1</v>
      </c>
      <c r="C69" s="33" t="s">
        <v>38</v>
      </c>
      <c r="D69" s="16">
        <v>12</v>
      </c>
      <c r="E69" s="50" t="s">
        <v>20</v>
      </c>
      <c r="F69" s="46">
        <v>3</v>
      </c>
      <c r="G69" s="33">
        <v>4</v>
      </c>
      <c r="H69" s="51">
        <f t="shared" si="1"/>
        <v>1.3333333333333333</v>
      </c>
      <c r="I69" s="40">
        <v>2</v>
      </c>
      <c r="J69" s="40">
        <v>1</v>
      </c>
      <c r="K69" s="40">
        <v>0</v>
      </c>
      <c r="L69" s="40">
        <v>1</v>
      </c>
      <c r="M69" s="40">
        <v>0</v>
      </c>
      <c r="N69" s="40">
        <v>0</v>
      </c>
      <c r="O69" s="40">
        <v>0</v>
      </c>
      <c r="P69" s="40">
        <v>0</v>
      </c>
    </row>
    <row r="70" spans="1:16" x14ac:dyDescent="0.2">
      <c r="A70" s="42">
        <v>42628</v>
      </c>
      <c r="B70" s="1">
        <v>2</v>
      </c>
      <c r="C70" s="33" t="s">
        <v>38</v>
      </c>
      <c r="D70" s="16">
        <v>12</v>
      </c>
      <c r="E70" s="50" t="s">
        <v>20</v>
      </c>
      <c r="F70" s="46">
        <v>3</v>
      </c>
      <c r="G70" s="33">
        <v>1</v>
      </c>
      <c r="H70" s="51">
        <f t="shared" si="1"/>
        <v>0.33333333333333331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</row>
    <row r="71" spans="1:16" x14ac:dyDescent="0.2">
      <c r="A71" s="42">
        <v>42634</v>
      </c>
      <c r="B71" s="1">
        <v>3</v>
      </c>
      <c r="C71" s="33" t="s">
        <v>38</v>
      </c>
      <c r="D71" s="16">
        <v>12</v>
      </c>
      <c r="E71" s="50" t="s">
        <v>20</v>
      </c>
      <c r="F71" s="46">
        <v>3</v>
      </c>
      <c r="G71" s="33">
        <v>1</v>
      </c>
      <c r="H71" s="51">
        <f t="shared" si="1"/>
        <v>0.33333333333333331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0</v>
      </c>
      <c r="P71" s="40">
        <v>0</v>
      </c>
    </row>
    <row r="72" spans="1:16" x14ac:dyDescent="0.2">
      <c r="A72" s="42">
        <v>42627</v>
      </c>
      <c r="B72" s="1">
        <v>1</v>
      </c>
      <c r="C72" s="33" t="s">
        <v>124</v>
      </c>
      <c r="D72" s="16">
        <v>13</v>
      </c>
      <c r="E72" s="50" t="s">
        <v>21</v>
      </c>
      <c r="F72" s="16">
        <v>3</v>
      </c>
      <c r="G72" s="16">
        <v>2</v>
      </c>
      <c r="H72" s="39">
        <f t="shared" si="1"/>
        <v>0.66666666666666663</v>
      </c>
      <c r="I72" s="1">
        <v>4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 x14ac:dyDescent="0.2">
      <c r="A73" s="42">
        <v>42635</v>
      </c>
      <c r="B73" s="1">
        <v>2</v>
      </c>
      <c r="C73" s="33" t="s">
        <v>124</v>
      </c>
      <c r="D73" s="16">
        <v>13</v>
      </c>
      <c r="E73" s="50" t="s">
        <v>21</v>
      </c>
      <c r="F73" s="16">
        <v>3</v>
      </c>
      <c r="G73" s="16">
        <v>1</v>
      </c>
      <c r="H73" s="39">
        <f t="shared" si="1"/>
        <v>0.33333333333333331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 x14ac:dyDescent="0.2">
      <c r="A74" s="42">
        <v>42627</v>
      </c>
      <c r="B74" s="1">
        <v>1</v>
      </c>
      <c r="C74" s="33" t="s">
        <v>123</v>
      </c>
      <c r="D74" s="16">
        <v>14</v>
      </c>
      <c r="E74" s="50" t="s">
        <v>22</v>
      </c>
      <c r="F74" s="16">
        <v>3</v>
      </c>
      <c r="G74" s="16">
        <v>0</v>
      </c>
      <c r="H74" s="39">
        <f t="shared" si="1"/>
        <v>0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 x14ac:dyDescent="0.2">
      <c r="A75" s="42">
        <v>42634</v>
      </c>
      <c r="B75" s="1">
        <v>2</v>
      </c>
      <c r="C75" s="33" t="s">
        <v>123</v>
      </c>
      <c r="D75" s="16">
        <v>14</v>
      </c>
      <c r="E75" s="50" t="s">
        <v>22</v>
      </c>
      <c r="F75" s="16">
        <v>3</v>
      </c>
      <c r="G75" s="16">
        <v>0</v>
      </c>
      <c r="H75" s="39">
        <f t="shared" si="1"/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 x14ac:dyDescent="0.2">
      <c r="A76" s="42">
        <v>42635</v>
      </c>
      <c r="B76" s="40">
        <v>1</v>
      </c>
      <c r="C76" s="33" t="s">
        <v>40</v>
      </c>
      <c r="D76" s="16">
        <v>15</v>
      </c>
      <c r="E76" s="50" t="s">
        <v>125</v>
      </c>
      <c r="F76" s="16">
        <v>6</v>
      </c>
      <c r="G76" s="16">
        <v>0</v>
      </c>
      <c r="H76" s="39">
        <f t="shared" si="1"/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 x14ac:dyDescent="0.2">
      <c r="A77" s="42">
        <v>42636</v>
      </c>
      <c r="B77" s="40">
        <v>1</v>
      </c>
      <c r="C77" s="16" t="s">
        <v>129</v>
      </c>
      <c r="D77" s="16">
        <v>16</v>
      </c>
      <c r="E77" s="50" t="s">
        <v>128</v>
      </c>
      <c r="F77" s="1">
        <v>6</v>
      </c>
      <c r="G77" s="16">
        <v>1</v>
      </c>
      <c r="H77" s="39">
        <f t="shared" si="1"/>
        <v>0.16666666666666666</v>
      </c>
      <c r="I77" s="1">
        <v>1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 x14ac:dyDescent="0.2">
      <c r="A78" s="42">
        <v>42636</v>
      </c>
      <c r="B78" s="40">
        <v>1</v>
      </c>
      <c r="C78" s="16" t="s">
        <v>131</v>
      </c>
      <c r="D78" s="16">
        <v>17</v>
      </c>
      <c r="E78" s="50" t="s">
        <v>130</v>
      </c>
      <c r="F78" s="1">
        <v>2</v>
      </c>
      <c r="G78" s="16">
        <v>1</v>
      </c>
      <c r="H78" s="39">
        <f t="shared" si="1"/>
        <v>0.5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 x14ac:dyDescent="0.2">
      <c r="A79" s="42">
        <v>42636</v>
      </c>
      <c r="B79" s="40">
        <v>1</v>
      </c>
      <c r="C79" s="16" t="s">
        <v>133</v>
      </c>
      <c r="D79" s="16">
        <v>18</v>
      </c>
      <c r="E79" s="50" t="s">
        <v>132</v>
      </c>
      <c r="F79" s="1">
        <v>3</v>
      </c>
      <c r="G79" s="16">
        <v>0</v>
      </c>
      <c r="H79" s="39">
        <f t="shared" si="1"/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 x14ac:dyDescent="0.2">
      <c r="A80" s="42">
        <v>42639</v>
      </c>
      <c r="B80" s="40">
        <v>1</v>
      </c>
      <c r="C80" s="16" t="s">
        <v>143</v>
      </c>
      <c r="D80" s="16">
        <v>19</v>
      </c>
      <c r="E80" s="50" t="s">
        <v>141</v>
      </c>
      <c r="F80" s="1">
        <v>4</v>
      </c>
      <c r="G80" s="16">
        <v>0</v>
      </c>
      <c r="H80" s="39">
        <f t="shared" si="1"/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 x14ac:dyDescent="0.2">
      <c r="A81" s="42">
        <v>42639</v>
      </c>
      <c r="B81" s="40">
        <v>1</v>
      </c>
      <c r="C81" s="16" t="s">
        <v>144</v>
      </c>
      <c r="D81" s="16">
        <v>20</v>
      </c>
      <c r="E81" s="50" t="s">
        <v>142</v>
      </c>
      <c r="F81" s="1">
        <v>4</v>
      </c>
      <c r="G81" s="16">
        <v>0</v>
      </c>
      <c r="H81" s="39">
        <f t="shared" si="1"/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 x14ac:dyDescent="0.2">
      <c r="A82" s="42">
        <v>42640</v>
      </c>
      <c r="B82" s="40">
        <v>1</v>
      </c>
      <c r="C82" s="16" t="s">
        <v>136</v>
      </c>
      <c r="D82" s="16">
        <v>21</v>
      </c>
      <c r="E82" s="50" t="s">
        <v>134</v>
      </c>
      <c r="F82" s="1">
        <v>3</v>
      </c>
      <c r="G82" s="16">
        <v>1</v>
      </c>
      <c r="H82" s="39">
        <f t="shared" si="1"/>
        <v>0.33333333333333331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 ht="13.5" thickBot="1" x14ac:dyDescent="0.25">
      <c r="A83" s="42">
        <v>42640</v>
      </c>
      <c r="B83" s="40">
        <v>1</v>
      </c>
      <c r="C83" s="16" t="s">
        <v>137</v>
      </c>
      <c r="D83" s="16">
        <v>22</v>
      </c>
      <c r="E83" s="50" t="s">
        <v>135</v>
      </c>
      <c r="F83" s="4">
        <v>4</v>
      </c>
      <c r="G83" s="17">
        <v>1</v>
      </c>
      <c r="H83" s="45">
        <f t="shared" si="1"/>
        <v>0.25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</row>
    <row r="84" spans="1:16" x14ac:dyDescent="0.2">
      <c r="A84" s="42"/>
      <c r="F84" s="2">
        <f>SUM(F4:F83)</f>
        <v>286</v>
      </c>
      <c r="G84" s="2">
        <f>SUM(G4:G83)</f>
        <v>154</v>
      </c>
      <c r="H84" s="63">
        <f t="shared" si="1"/>
        <v>0.53846153846153844</v>
      </c>
      <c r="I84" s="2">
        <f t="shared" ref="I84:P84" si="2">SUM(I4:I83)</f>
        <v>256</v>
      </c>
      <c r="J84" s="2">
        <f t="shared" si="2"/>
        <v>74</v>
      </c>
      <c r="K84" s="2">
        <f t="shared" si="2"/>
        <v>39</v>
      </c>
      <c r="L84" s="2">
        <f t="shared" si="2"/>
        <v>27</v>
      </c>
      <c r="M84" s="2">
        <f t="shared" si="2"/>
        <v>47</v>
      </c>
      <c r="N84" s="2">
        <f t="shared" si="2"/>
        <v>11</v>
      </c>
      <c r="O84" s="2">
        <f t="shared" si="2"/>
        <v>28</v>
      </c>
      <c r="P84" s="2">
        <f t="shared" si="2"/>
        <v>1</v>
      </c>
    </row>
    <row r="85" spans="1:16" x14ac:dyDescent="0.2">
      <c r="A85" s="42"/>
      <c r="H85" s="1"/>
    </row>
    <row r="86" spans="1:16" x14ac:dyDescent="0.2">
      <c r="A86" s="42"/>
      <c r="H86" s="1"/>
    </row>
    <row r="87" spans="1:16" x14ac:dyDescent="0.2">
      <c r="A87" s="42"/>
      <c r="H87" s="1"/>
    </row>
    <row r="88" spans="1:16" x14ac:dyDescent="0.2">
      <c r="A88" s="42"/>
      <c r="H88" s="1"/>
    </row>
    <row r="89" spans="1:16" x14ac:dyDescent="0.2">
      <c r="A89" s="42"/>
      <c r="H89" s="1"/>
    </row>
    <row r="90" spans="1:16" x14ac:dyDescent="0.2">
      <c r="A90" s="42"/>
      <c r="H90" s="1"/>
    </row>
    <row r="91" spans="1:16" x14ac:dyDescent="0.2">
      <c r="A91" s="42"/>
      <c r="H91" s="1"/>
    </row>
    <row r="92" spans="1:16" x14ac:dyDescent="0.2">
      <c r="A92" s="42"/>
      <c r="H92" s="1"/>
    </row>
    <row r="93" spans="1:16" x14ac:dyDescent="0.2">
      <c r="A93" s="42"/>
      <c r="H93" s="1"/>
    </row>
    <row r="94" spans="1:16" x14ac:dyDescent="0.2">
      <c r="A94" s="42"/>
      <c r="H94" s="1"/>
    </row>
    <row r="95" spans="1:16" x14ac:dyDescent="0.2">
      <c r="A95" s="42"/>
      <c r="H95" s="1"/>
    </row>
    <row r="96" spans="1:16" x14ac:dyDescent="0.2">
      <c r="A96" s="42"/>
      <c r="H96" s="1"/>
    </row>
    <row r="97" spans="1:8" x14ac:dyDescent="0.2">
      <c r="A97" s="42"/>
      <c r="H97" s="1"/>
    </row>
    <row r="98" spans="1:8" x14ac:dyDescent="0.2">
      <c r="A98" s="42"/>
      <c r="H98" s="1"/>
    </row>
    <row r="99" spans="1:8" x14ac:dyDescent="0.2">
      <c r="A99" s="42"/>
      <c r="H99" s="1"/>
    </row>
    <row r="100" spans="1:8" x14ac:dyDescent="0.2">
      <c r="A100" s="42"/>
      <c r="H100" s="1"/>
    </row>
    <row r="101" spans="1:8" x14ac:dyDescent="0.2">
      <c r="A101" s="42"/>
      <c r="H101" s="1"/>
    </row>
    <row r="102" spans="1:8" x14ac:dyDescent="0.2">
      <c r="A102" s="42"/>
      <c r="H102" s="1"/>
    </row>
    <row r="103" spans="1:8" x14ac:dyDescent="0.2">
      <c r="A103" s="42"/>
      <c r="H103" s="1"/>
    </row>
    <row r="104" spans="1:8" x14ac:dyDescent="0.2">
      <c r="A104" s="42"/>
      <c r="H104" s="1"/>
    </row>
    <row r="105" spans="1:8" x14ac:dyDescent="0.2">
      <c r="A105" s="42"/>
      <c r="H105" s="1"/>
    </row>
    <row r="106" spans="1:8" x14ac:dyDescent="0.2">
      <c r="A106" s="42"/>
      <c r="H106" s="1"/>
    </row>
    <row r="107" spans="1:8" x14ac:dyDescent="0.2">
      <c r="A107" s="42"/>
      <c r="H107" s="1"/>
    </row>
    <row r="108" spans="1:8" x14ac:dyDescent="0.2">
      <c r="A108" s="42"/>
      <c r="H108" s="1"/>
    </row>
    <row r="109" spans="1:8" x14ac:dyDescent="0.2">
      <c r="A109" s="42"/>
      <c r="H109" s="1"/>
    </row>
    <row r="110" spans="1:8" x14ac:dyDescent="0.2">
      <c r="A110" s="42"/>
      <c r="H110" s="1"/>
    </row>
    <row r="111" spans="1:8" x14ac:dyDescent="0.2">
      <c r="A111" s="42"/>
      <c r="H111" s="1"/>
    </row>
    <row r="112" spans="1:8" x14ac:dyDescent="0.2">
      <c r="A112" s="42"/>
      <c r="H112" s="1"/>
    </row>
    <row r="113" spans="1:8" x14ac:dyDescent="0.2">
      <c r="A113" s="42"/>
      <c r="H113" s="1"/>
    </row>
    <row r="114" spans="1:8" x14ac:dyDescent="0.2">
      <c r="A114" s="42"/>
      <c r="H114" s="1"/>
    </row>
    <row r="115" spans="1:8" x14ac:dyDescent="0.2">
      <c r="A115" s="42"/>
      <c r="H115" s="1"/>
    </row>
    <row r="116" spans="1:8" x14ac:dyDescent="0.2">
      <c r="A116" s="42"/>
      <c r="H116" s="1"/>
    </row>
    <row r="117" spans="1:8" x14ac:dyDescent="0.2">
      <c r="A117" s="42"/>
      <c r="H117" s="1"/>
    </row>
    <row r="118" spans="1:8" x14ac:dyDescent="0.2">
      <c r="A118" s="42"/>
      <c r="H118" s="1"/>
    </row>
    <row r="119" spans="1:8" x14ac:dyDescent="0.2">
      <c r="A119" s="42"/>
      <c r="H119" s="1"/>
    </row>
    <row r="120" spans="1:8" x14ac:dyDescent="0.2">
      <c r="A120" s="42"/>
      <c r="H120" s="1"/>
    </row>
    <row r="121" spans="1:8" x14ac:dyDescent="0.2">
      <c r="A121" s="42"/>
      <c r="H121" s="1"/>
    </row>
    <row r="122" spans="1:8" x14ac:dyDescent="0.2">
      <c r="A122" s="42"/>
      <c r="H122" s="1"/>
    </row>
    <row r="123" spans="1:8" x14ac:dyDescent="0.2">
      <c r="A123" s="42"/>
      <c r="H123" s="1"/>
    </row>
    <row r="124" spans="1:8" x14ac:dyDescent="0.2">
      <c r="A124" s="42"/>
      <c r="H124" s="1"/>
    </row>
    <row r="125" spans="1:8" x14ac:dyDescent="0.2">
      <c r="A125" s="42"/>
      <c r="H125" s="1"/>
    </row>
    <row r="126" spans="1:8" x14ac:dyDescent="0.2">
      <c r="A126" s="42"/>
      <c r="H126" s="1"/>
    </row>
    <row r="127" spans="1:8" x14ac:dyDescent="0.2">
      <c r="A127" s="42"/>
      <c r="H127" s="1"/>
    </row>
    <row r="128" spans="1:8" x14ac:dyDescent="0.2">
      <c r="A128" s="42"/>
      <c r="H128" s="1"/>
    </row>
    <row r="129" spans="1:8" x14ac:dyDescent="0.2">
      <c r="A129" s="42"/>
      <c r="H129" s="1"/>
    </row>
    <row r="130" spans="1:8" x14ac:dyDescent="0.2">
      <c r="A130" s="42"/>
      <c r="H130" s="1"/>
    </row>
    <row r="131" spans="1:8" x14ac:dyDescent="0.2">
      <c r="A131" s="42"/>
      <c r="H131" s="1"/>
    </row>
    <row r="132" spans="1:8" x14ac:dyDescent="0.2">
      <c r="A132" s="42"/>
      <c r="H132" s="1"/>
    </row>
    <row r="133" spans="1:8" x14ac:dyDescent="0.2">
      <c r="A133" s="42"/>
      <c r="H133" s="1"/>
    </row>
    <row r="134" spans="1:8" x14ac:dyDescent="0.2">
      <c r="A134" s="42"/>
      <c r="H134" s="1"/>
    </row>
    <row r="135" spans="1:8" x14ac:dyDescent="0.2">
      <c r="A135" s="42"/>
      <c r="H135" s="1"/>
    </row>
    <row r="136" spans="1:8" x14ac:dyDescent="0.2">
      <c r="A136" s="42"/>
      <c r="H136" s="1"/>
    </row>
    <row r="137" spans="1:8" x14ac:dyDescent="0.2">
      <c r="A137" s="42"/>
      <c r="H137" s="1"/>
    </row>
    <row r="138" spans="1:8" x14ac:dyDescent="0.2">
      <c r="A138" s="42"/>
      <c r="H138" s="1"/>
    </row>
    <row r="139" spans="1:8" x14ac:dyDescent="0.2">
      <c r="A139" s="42"/>
      <c r="H139" s="1"/>
    </row>
    <row r="140" spans="1:8" x14ac:dyDescent="0.2">
      <c r="A140" s="42"/>
      <c r="H140" s="1"/>
    </row>
    <row r="141" spans="1:8" x14ac:dyDescent="0.2">
      <c r="A141" s="42"/>
      <c r="H141" s="1"/>
    </row>
    <row r="142" spans="1:8" x14ac:dyDescent="0.2">
      <c r="A142" s="42"/>
      <c r="H142" s="1"/>
    </row>
    <row r="143" spans="1:8" x14ac:dyDescent="0.2">
      <c r="A143" s="42"/>
      <c r="H143" s="1"/>
    </row>
    <row r="144" spans="1:8" x14ac:dyDescent="0.2">
      <c r="A144" s="42"/>
      <c r="H144" s="1"/>
    </row>
    <row r="145" spans="1:8" x14ac:dyDescent="0.2">
      <c r="A145" s="42"/>
      <c r="H145" s="1"/>
    </row>
  </sheetData>
  <pageMargins left="0.7" right="0.7" top="0.75" bottom="0.75" header="0.3" footer="0.3"/>
  <pageSetup orientation="portrait" r:id="rId1"/>
  <ignoredErrors>
    <ignoredError sqref="H84" formula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133"/>
  <sheetViews>
    <sheetView workbookViewId="0">
      <pane ySplit="3" topLeftCell="A92" activePane="bottomLeft" state="frozen"/>
      <selection pane="bottomLeft" activeCell="G123" sqref="G123:G127"/>
    </sheetView>
  </sheetViews>
  <sheetFormatPr defaultRowHeight="12.75" x14ac:dyDescent="0.2"/>
  <cols>
    <col min="1" max="1" width="10.140625" bestFit="1" customWidth="1"/>
    <col min="5" max="5" width="38" customWidth="1"/>
    <col min="16" max="16" width="16.28515625" customWidth="1"/>
  </cols>
  <sheetData>
    <row r="1" spans="1:16" x14ac:dyDescent="0.2">
      <c r="A1" s="2"/>
      <c r="B1" s="2"/>
      <c r="C1" s="2"/>
      <c r="D1" s="2"/>
      <c r="E1" s="2"/>
      <c r="I1" s="3" t="s">
        <v>24</v>
      </c>
      <c r="J1" s="3"/>
      <c r="K1" s="3"/>
    </row>
    <row r="2" spans="1:16" x14ac:dyDescent="0.2">
      <c r="D2" s="2" t="s">
        <v>113</v>
      </c>
      <c r="F2" s="2" t="s">
        <v>4</v>
      </c>
      <c r="G2" s="2" t="s">
        <v>140</v>
      </c>
      <c r="H2" s="2" t="s">
        <v>3</v>
      </c>
      <c r="J2" s="2" t="s">
        <v>8</v>
      </c>
      <c r="K2" s="2"/>
      <c r="P2" s="21" t="s">
        <v>154</v>
      </c>
    </row>
    <row r="3" spans="1:16" ht="13.5" thickBot="1" x14ac:dyDescent="0.25">
      <c r="A3" s="2" t="s">
        <v>0</v>
      </c>
      <c r="B3" s="2" t="s">
        <v>1</v>
      </c>
      <c r="C3" s="2" t="s">
        <v>108</v>
      </c>
      <c r="D3" s="2" t="s">
        <v>114</v>
      </c>
      <c r="E3" s="2" t="s">
        <v>2</v>
      </c>
      <c r="F3" s="2" t="s">
        <v>26</v>
      </c>
      <c r="G3" s="2" t="s">
        <v>3</v>
      </c>
      <c r="H3" s="2" t="s">
        <v>73</v>
      </c>
      <c r="I3" s="2" t="s">
        <v>5</v>
      </c>
      <c r="J3" s="4" t="s">
        <v>6</v>
      </c>
      <c r="K3" s="4" t="s">
        <v>7</v>
      </c>
      <c r="L3" s="1" t="s">
        <v>109</v>
      </c>
      <c r="M3" s="21" t="s">
        <v>110</v>
      </c>
      <c r="N3" s="21" t="s">
        <v>111</v>
      </c>
      <c r="O3" s="21" t="s">
        <v>112</v>
      </c>
      <c r="P3" s="21" t="s">
        <v>155</v>
      </c>
    </row>
    <row r="4" spans="1:16" x14ac:dyDescent="0.2">
      <c r="A4" s="38">
        <v>42250</v>
      </c>
      <c r="B4" s="1">
        <v>1</v>
      </c>
      <c r="C4" s="16" t="s">
        <v>118</v>
      </c>
      <c r="D4" s="16" t="s">
        <v>116</v>
      </c>
      <c r="E4" s="50" t="s">
        <v>117</v>
      </c>
      <c r="F4" s="16">
        <v>2</v>
      </c>
      <c r="G4" s="1">
        <v>1</v>
      </c>
      <c r="H4" s="39">
        <f>G4/F4</f>
        <v>0.5</v>
      </c>
      <c r="I4" s="1">
        <v>3</v>
      </c>
      <c r="J4" s="36">
        <v>2</v>
      </c>
      <c r="K4" s="36">
        <v>1</v>
      </c>
      <c r="L4" s="1">
        <v>2</v>
      </c>
      <c r="M4" s="21">
        <v>0</v>
      </c>
      <c r="N4" s="21">
        <v>0</v>
      </c>
      <c r="O4" s="21">
        <v>1</v>
      </c>
      <c r="P4" s="21">
        <v>0</v>
      </c>
    </row>
    <row r="5" spans="1:16" x14ac:dyDescent="0.2">
      <c r="A5" s="38">
        <v>42261</v>
      </c>
      <c r="B5" s="1">
        <v>2</v>
      </c>
      <c r="C5" s="16" t="s">
        <v>118</v>
      </c>
      <c r="D5" s="16" t="s">
        <v>116</v>
      </c>
      <c r="E5" s="50" t="s">
        <v>117</v>
      </c>
      <c r="F5" s="16">
        <v>2</v>
      </c>
      <c r="G5" s="1">
        <v>0</v>
      </c>
      <c r="H5" s="39">
        <f>G5/F5</f>
        <v>0</v>
      </c>
      <c r="I5" s="1">
        <v>0</v>
      </c>
      <c r="J5" s="36">
        <v>0</v>
      </c>
      <c r="K5" s="36">
        <v>0</v>
      </c>
      <c r="L5" s="1">
        <v>0</v>
      </c>
      <c r="M5" s="21">
        <v>0</v>
      </c>
      <c r="N5" s="21">
        <v>0</v>
      </c>
      <c r="O5" s="21">
        <v>0</v>
      </c>
      <c r="P5" s="21">
        <v>0</v>
      </c>
    </row>
    <row r="6" spans="1:16" x14ac:dyDescent="0.2">
      <c r="A6" s="42">
        <v>42205</v>
      </c>
      <c r="B6" s="1" t="s">
        <v>127</v>
      </c>
      <c r="C6" s="33" t="s">
        <v>27</v>
      </c>
      <c r="D6" s="16">
        <v>1</v>
      </c>
      <c r="E6" s="50" t="s">
        <v>9</v>
      </c>
      <c r="F6" s="16">
        <v>6</v>
      </c>
      <c r="G6" s="16">
        <v>0</v>
      </c>
      <c r="H6" s="39">
        <f t="shared" ref="H6:H37" si="0">G6/F6</f>
        <v>0</v>
      </c>
      <c r="I6" s="16">
        <v>0</v>
      </c>
      <c r="J6" s="36">
        <v>0</v>
      </c>
      <c r="K6" s="36">
        <v>0</v>
      </c>
      <c r="L6" s="1">
        <v>0</v>
      </c>
      <c r="M6" s="21">
        <v>0</v>
      </c>
      <c r="N6" s="21">
        <v>0</v>
      </c>
      <c r="O6" s="21">
        <v>0</v>
      </c>
      <c r="P6" s="21">
        <v>0</v>
      </c>
    </row>
    <row r="7" spans="1:16" x14ac:dyDescent="0.2">
      <c r="A7" s="42">
        <v>42242</v>
      </c>
      <c r="B7" s="1">
        <v>1</v>
      </c>
      <c r="C7" s="33" t="s">
        <v>27</v>
      </c>
      <c r="D7" s="16">
        <v>1</v>
      </c>
      <c r="E7" s="50" t="s">
        <v>9</v>
      </c>
      <c r="F7" s="16">
        <v>6</v>
      </c>
      <c r="G7" s="16">
        <v>0</v>
      </c>
      <c r="H7" s="39">
        <f t="shared" si="0"/>
        <v>0</v>
      </c>
      <c r="I7" s="1">
        <v>1</v>
      </c>
      <c r="J7" s="36">
        <v>1</v>
      </c>
      <c r="K7" s="36">
        <v>0</v>
      </c>
      <c r="L7" s="1">
        <v>0</v>
      </c>
      <c r="M7" s="21">
        <v>1</v>
      </c>
      <c r="N7" s="21">
        <v>0</v>
      </c>
      <c r="O7" s="21">
        <v>0</v>
      </c>
      <c r="P7" s="21">
        <v>0</v>
      </c>
    </row>
    <row r="8" spans="1:16" x14ac:dyDescent="0.2">
      <c r="A8" s="42">
        <v>42249</v>
      </c>
      <c r="B8" s="1">
        <v>2</v>
      </c>
      <c r="C8" s="33" t="s">
        <v>27</v>
      </c>
      <c r="D8" s="16">
        <v>1</v>
      </c>
      <c r="E8" s="50" t="s">
        <v>9</v>
      </c>
      <c r="F8" s="16">
        <v>6</v>
      </c>
      <c r="G8" s="16">
        <v>10</v>
      </c>
      <c r="H8" s="39">
        <f t="shared" si="0"/>
        <v>1.6666666666666667</v>
      </c>
      <c r="I8" s="1">
        <v>27</v>
      </c>
      <c r="J8" s="36">
        <v>8</v>
      </c>
      <c r="K8" s="36">
        <v>0</v>
      </c>
      <c r="L8" s="1">
        <v>4</v>
      </c>
      <c r="M8" s="21">
        <v>4</v>
      </c>
      <c r="N8" s="21">
        <v>0</v>
      </c>
      <c r="O8" s="21">
        <v>0</v>
      </c>
      <c r="P8" s="21">
        <v>0</v>
      </c>
    </row>
    <row r="9" spans="1:16" x14ac:dyDescent="0.2">
      <c r="A9" s="42">
        <v>42256</v>
      </c>
      <c r="B9" s="1">
        <v>3</v>
      </c>
      <c r="C9" s="33" t="s">
        <v>27</v>
      </c>
      <c r="D9" s="16">
        <v>1</v>
      </c>
      <c r="E9" s="50" t="s">
        <v>9</v>
      </c>
      <c r="F9" s="16">
        <v>6</v>
      </c>
      <c r="G9" s="16">
        <v>14</v>
      </c>
      <c r="H9" s="39">
        <f t="shared" si="0"/>
        <v>2.3333333333333335</v>
      </c>
      <c r="I9" s="1">
        <v>14</v>
      </c>
      <c r="J9" s="36">
        <v>20</v>
      </c>
      <c r="K9" s="36">
        <v>4</v>
      </c>
      <c r="L9" s="1">
        <v>8</v>
      </c>
      <c r="M9" s="21">
        <v>12</v>
      </c>
      <c r="N9" s="21">
        <v>1</v>
      </c>
      <c r="O9" s="21">
        <v>3</v>
      </c>
      <c r="P9" s="21">
        <v>0</v>
      </c>
    </row>
    <row r="10" spans="1:16" x14ac:dyDescent="0.2">
      <c r="A10" s="42">
        <v>42261</v>
      </c>
      <c r="B10" s="1">
        <v>4</v>
      </c>
      <c r="C10" s="33" t="s">
        <v>27</v>
      </c>
      <c r="D10" s="16">
        <v>1</v>
      </c>
      <c r="E10" s="50" t="s">
        <v>9</v>
      </c>
      <c r="F10" s="16">
        <v>6</v>
      </c>
      <c r="G10" s="16">
        <v>1</v>
      </c>
      <c r="H10" s="39">
        <f t="shared" si="0"/>
        <v>0.16666666666666666</v>
      </c>
      <c r="I10" s="1">
        <v>0</v>
      </c>
      <c r="J10" s="36">
        <v>0</v>
      </c>
      <c r="K10" s="36">
        <v>0</v>
      </c>
      <c r="L10" s="1">
        <v>0</v>
      </c>
      <c r="M10" s="21">
        <v>0</v>
      </c>
      <c r="N10" s="21">
        <v>0</v>
      </c>
      <c r="O10" s="21">
        <v>0</v>
      </c>
      <c r="P10" s="21">
        <v>0</v>
      </c>
    </row>
    <row r="11" spans="1:16" x14ac:dyDescent="0.2">
      <c r="A11" s="42">
        <v>42200</v>
      </c>
      <c r="B11" s="1" t="s">
        <v>127</v>
      </c>
      <c r="C11" s="33" t="s">
        <v>28</v>
      </c>
      <c r="D11" s="16">
        <v>2</v>
      </c>
      <c r="E11" s="50" t="s">
        <v>10</v>
      </c>
      <c r="F11" s="16">
        <v>3</v>
      </c>
      <c r="G11" s="16">
        <v>0</v>
      </c>
      <c r="H11" s="39">
        <f t="shared" si="0"/>
        <v>0</v>
      </c>
      <c r="I11" s="16">
        <v>0</v>
      </c>
      <c r="J11" s="36">
        <v>0</v>
      </c>
      <c r="K11" s="36">
        <v>0</v>
      </c>
      <c r="L11" s="1">
        <v>0</v>
      </c>
      <c r="M11" s="21">
        <v>0</v>
      </c>
      <c r="N11" s="21">
        <v>0</v>
      </c>
      <c r="O11" s="21">
        <v>0</v>
      </c>
      <c r="P11" s="21">
        <v>0</v>
      </c>
    </row>
    <row r="12" spans="1:16" x14ac:dyDescent="0.2">
      <c r="A12" s="42">
        <v>42234</v>
      </c>
      <c r="B12" s="1" t="s">
        <v>127</v>
      </c>
      <c r="C12" s="33" t="s">
        <v>28</v>
      </c>
      <c r="D12" s="16">
        <v>2</v>
      </c>
      <c r="E12" s="50" t="s">
        <v>10</v>
      </c>
      <c r="F12" s="16">
        <v>3</v>
      </c>
      <c r="G12" s="16">
        <v>0</v>
      </c>
      <c r="H12" s="39">
        <f t="shared" si="0"/>
        <v>0</v>
      </c>
      <c r="I12" s="16">
        <v>0</v>
      </c>
      <c r="J12" s="36">
        <v>0</v>
      </c>
      <c r="K12" s="36">
        <v>0</v>
      </c>
      <c r="L12" s="1">
        <v>0</v>
      </c>
      <c r="M12" s="21">
        <v>0</v>
      </c>
      <c r="N12" s="21">
        <v>0</v>
      </c>
      <c r="O12" s="21">
        <v>0</v>
      </c>
      <c r="P12" s="21">
        <v>0</v>
      </c>
    </row>
    <row r="13" spans="1:16" x14ac:dyDescent="0.2">
      <c r="A13" s="42">
        <v>42242</v>
      </c>
      <c r="B13" s="1">
        <v>1</v>
      </c>
      <c r="C13" s="33" t="s">
        <v>28</v>
      </c>
      <c r="D13" s="16">
        <v>2</v>
      </c>
      <c r="E13" s="50" t="s">
        <v>10</v>
      </c>
      <c r="F13" s="16">
        <v>3</v>
      </c>
      <c r="G13" s="16">
        <v>2</v>
      </c>
      <c r="H13" s="39">
        <f t="shared" si="0"/>
        <v>0.66666666666666663</v>
      </c>
      <c r="I13" s="1">
        <v>8</v>
      </c>
      <c r="J13" s="36">
        <v>1</v>
      </c>
      <c r="K13" s="36">
        <v>0</v>
      </c>
      <c r="L13" s="1">
        <v>0</v>
      </c>
      <c r="M13" s="21">
        <v>1</v>
      </c>
      <c r="N13" s="21">
        <v>0</v>
      </c>
      <c r="O13" s="21">
        <v>0</v>
      </c>
      <c r="P13" s="21">
        <v>0</v>
      </c>
    </row>
    <row r="14" spans="1:16" x14ac:dyDescent="0.2">
      <c r="A14" s="42">
        <v>42249</v>
      </c>
      <c r="B14" s="1">
        <v>2</v>
      </c>
      <c r="C14" s="33" t="s">
        <v>28</v>
      </c>
      <c r="D14" s="16">
        <v>2</v>
      </c>
      <c r="E14" s="50" t="s">
        <v>10</v>
      </c>
      <c r="F14" s="16">
        <v>3</v>
      </c>
      <c r="G14" s="16">
        <v>9</v>
      </c>
      <c r="H14" s="39">
        <f t="shared" si="0"/>
        <v>3</v>
      </c>
      <c r="I14" s="1">
        <v>19</v>
      </c>
      <c r="J14" s="36">
        <v>2</v>
      </c>
      <c r="K14" s="36">
        <v>1</v>
      </c>
      <c r="L14" s="1">
        <v>1</v>
      </c>
      <c r="M14" s="21">
        <v>1</v>
      </c>
      <c r="N14" s="21">
        <v>0</v>
      </c>
      <c r="O14" s="21">
        <v>1</v>
      </c>
      <c r="P14" s="21">
        <v>0</v>
      </c>
    </row>
    <row r="15" spans="1:16" x14ac:dyDescent="0.2">
      <c r="A15" s="42">
        <v>42256</v>
      </c>
      <c r="B15" s="1">
        <v>3</v>
      </c>
      <c r="C15" s="33" t="s">
        <v>28</v>
      </c>
      <c r="D15" s="16">
        <v>2</v>
      </c>
      <c r="E15" s="50" t="s">
        <v>10</v>
      </c>
      <c r="F15" s="16">
        <v>3</v>
      </c>
      <c r="G15" s="16">
        <v>14</v>
      </c>
      <c r="H15" s="39">
        <f t="shared" si="0"/>
        <v>4.666666666666667</v>
      </c>
      <c r="I15" s="1">
        <v>23</v>
      </c>
      <c r="J15" s="36">
        <v>10</v>
      </c>
      <c r="K15" s="36">
        <v>7</v>
      </c>
      <c r="L15" s="1">
        <v>3</v>
      </c>
      <c r="M15" s="21">
        <v>7</v>
      </c>
      <c r="N15" s="21">
        <v>4</v>
      </c>
      <c r="O15" s="21">
        <v>3</v>
      </c>
      <c r="P15" s="21">
        <v>2</v>
      </c>
    </row>
    <row r="16" spans="1:16" x14ac:dyDescent="0.2">
      <c r="A16" s="42">
        <v>42261</v>
      </c>
      <c r="B16" s="1">
        <v>4</v>
      </c>
      <c r="C16" s="33" t="s">
        <v>28</v>
      </c>
      <c r="D16" s="16">
        <v>2</v>
      </c>
      <c r="E16" s="50" t="s">
        <v>10</v>
      </c>
      <c r="F16" s="16">
        <v>3</v>
      </c>
      <c r="G16" s="16">
        <v>5</v>
      </c>
      <c r="H16" s="39">
        <f t="shared" si="0"/>
        <v>1.6666666666666667</v>
      </c>
      <c r="I16" s="1">
        <v>0</v>
      </c>
      <c r="J16" s="36">
        <v>1</v>
      </c>
      <c r="K16" s="36">
        <v>0</v>
      </c>
      <c r="L16" s="1">
        <v>0</v>
      </c>
      <c r="M16" s="21">
        <v>1</v>
      </c>
      <c r="N16" s="21">
        <v>0</v>
      </c>
      <c r="O16" s="21">
        <v>0</v>
      </c>
      <c r="P16" s="21">
        <v>0</v>
      </c>
    </row>
    <row r="17" spans="1:16" x14ac:dyDescent="0.2">
      <c r="A17" s="42">
        <v>42186</v>
      </c>
      <c r="B17" s="1" t="s">
        <v>127</v>
      </c>
      <c r="C17" s="33" t="s">
        <v>29</v>
      </c>
      <c r="D17" s="16">
        <v>3</v>
      </c>
      <c r="E17" s="50" t="s">
        <v>11</v>
      </c>
      <c r="F17" s="16">
        <v>2</v>
      </c>
      <c r="G17" s="16">
        <v>0</v>
      </c>
      <c r="H17" s="39">
        <f t="shared" si="0"/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</row>
    <row r="18" spans="1:16" x14ac:dyDescent="0.2">
      <c r="A18" s="42">
        <v>42234</v>
      </c>
      <c r="B18" s="1" t="s">
        <v>127</v>
      </c>
      <c r="C18" s="33" t="s">
        <v>29</v>
      </c>
      <c r="D18" s="16">
        <v>3</v>
      </c>
      <c r="E18" s="50" t="s">
        <v>11</v>
      </c>
      <c r="F18" s="16">
        <v>2</v>
      </c>
      <c r="G18" s="16">
        <v>0</v>
      </c>
      <c r="H18" s="39">
        <f t="shared" si="0"/>
        <v>0</v>
      </c>
      <c r="I18" s="16">
        <v>4</v>
      </c>
      <c r="J18" s="36">
        <v>0</v>
      </c>
      <c r="K18" s="36">
        <v>0</v>
      </c>
      <c r="L18" s="1">
        <v>0</v>
      </c>
      <c r="M18" s="21">
        <v>0</v>
      </c>
      <c r="N18" s="21">
        <v>0</v>
      </c>
      <c r="O18" s="21">
        <v>0</v>
      </c>
      <c r="P18" s="21">
        <v>0</v>
      </c>
    </row>
    <row r="19" spans="1:16" x14ac:dyDescent="0.2">
      <c r="A19" s="42">
        <v>42244</v>
      </c>
      <c r="B19" s="1">
        <v>1</v>
      </c>
      <c r="C19" s="33" t="s">
        <v>29</v>
      </c>
      <c r="D19" s="16">
        <v>3</v>
      </c>
      <c r="E19" s="50" t="s">
        <v>11</v>
      </c>
      <c r="F19" s="16">
        <v>2</v>
      </c>
      <c r="G19" s="16">
        <v>1</v>
      </c>
      <c r="H19" s="39">
        <f t="shared" si="0"/>
        <v>0.5</v>
      </c>
      <c r="I19" s="16">
        <v>4</v>
      </c>
      <c r="J19" s="36">
        <v>0</v>
      </c>
      <c r="K19" s="36">
        <v>0</v>
      </c>
      <c r="L19" s="1">
        <v>0</v>
      </c>
      <c r="M19" s="21">
        <v>0</v>
      </c>
      <c r="N19" s="21">
        <v>0</v>
      </c>
      <c r="O19" s="21">
        <v>0</v>
      </c>
      <c r="P19" s="21">
        <v>0</v>
      </c>
    </row>
    <row r="20" spans="1:16" x14ac:dyDescent="0.2">
      <c r="A20" s="42">
        <v>42249</v>
      </c>
      <c r="B20" s="1">
        <v>2</v>
      </c>
      <c r="C20" s="33" t="s">
        <v>29</v>
      </c>
      <c r="D20" s="16">
        <v>3</v>
      </c>
      <c r="E20" s="50" t="s">
        <v>11</v>
      </c>
      <c r="F20" s="16">
        <v>2</v>
      </c>
      <c r="G20" s="16">
        <v>4</v>
      </c>
      <c r="H20" s="39">
        <f t="shared" si="0"/>
        <v>2</v>
      </c>
      <c r="I20" s="16">
        <v>11</v>
      </c>
      <c r="J20" s="36">
        <v>0</v>
      </c>
      <c r="K20" s="36">
        <v>0</v>
      </c>
      <c r="L20" s="1">
        <v>0</v>
      </c>
      <c r="M20" s="21">
        <v>0</v>
      </c>
      <c r="N20" s="21">
        <v>0</v>
      </c>
      <c r="O20" s="21">
        <v>0</v>
      </c>
      <c r="P20" s="21">
        <v>0</v>
      </c>
    </row>
    <row r="21" spans="1:16" x14ac:dyDescent="0.2">
      <c r="A21" s="42">
        <v>42256</v>
      </c>
      <c r="B21" s="1">
        <v>3</v>
      </c>
      <c r="C21" s="33" t="s">
        <v>29</v>
      </c>
      <c r="D21" s="16">
        <v>3</v>
      </c>
      <c r="E21" s="50" t="s">
        <v>11</v>
      </c>
      <c r="F21" s="16">
        <v>2</v>
      </c>
      <c r="G21" s="16">
        <v>9</v>
      </c>
      <c r="H21" s="39">
        <f t="shared" si="0"/>
        <v>4.5</v>
      </c>
      <c r="I21" s="16">
        <v>11</v>
      </c>
      <c r="J21" s="36">
        <v>7</v>
      </c>
      <c r="K21" s="36">
        <v>1</v>
      </c>
      <c r="L21" s="1">
        <v>2</v>
      </c>
      <c r="M21" s="21">
        <v>5</v>
      </c>
      <c r="N21" s="21">
        <v>1</v>
      </c>
      <c r="O21" s="21">
        <v>0</v>
      </c>
      <c r="P21" s="21">
        <v>2</v>
      </c>
    </row>
    <row r="22" spans="1:16" x14ac:dyDescent="0.2">
      <c r="A22" s="42">
        <v>42263</v>
      </c>
      <c r="B22" s="1">
        <v>4</v>
      </c>
      <c r="C22" s="33" t="s">
        <v>29</v>
      </c>
      <c r="D22" s="16">
        <v>3</v>
      </c>
      <c r="E22" s="50" t="s">
        <v>11</v>
      </c>
      <c r="F22" s="16">
        <v>2</v>
      </c>
      <c r="G22" s="16">
        <v>4</v>
      </c>
      <c r="H22" s="39">
        <f t="shared" si="0"/>
        <v>2</v>
      </c>
      <c r="I22" s="16">
        <v>10</v>
      </c>
      <c r="J22" s="36">
        <v>14</v>
      </c>
      <c r="K22" s="36">
        <v>1</v>
      </c>
      <c r="L22" s="1">
        <v>7</v>
      </c>
      <c r="M22" s="21">
        <v>7</v>
      </c>
      <c r="N22" s="21">
        <v>0</v>
      </c>
      <c r="O22" s="21">
        <v>1</v>
      </c>
      <c r="P22" s="21">
        <v>0</v>
      </c>
    </row>
    <row r="23" spans="1:16" x14ac:dyDescent="0.2">
      <c r="A23" s="42">
        <v>42271</v>
      </c>
      <c r="B23" s="1">
        <v>5</v>
      </c>
      <c r="C23" s="33" t="s">
        <v>29</v>
      </c>
      <c r="D23" s="16">
        <v>3</v>
      </c>
      <c r="E23" s="50" t="s">
        <v>11</v>
      </c>
      <c r="F23" s="16">
        <v>2</v>
      </c>
      <c r="G23" s="16">
        <v>8</v>
      </c>
      <c r="H23" s="39">
        <f t="shared" si="0"/>
        <v>4</v>
      </c>
      <c r="I23" s="16">
        <v>0</v>
      </c>
      <c r="J23" s="36">
        <v>0</v>
      </c>
      <c r="K23" s="36">
        <v>0</v>
      </c>
      <c r="L23" s="1">
        <v>0</v>
      </c>
      <c r="M23" s="21">
        <v>0</v>
      </c>
      <c r="N23" s="21">
        <v>0</v>
      </c>
      <c r="O23" s="21">
        <v>0</v>
      </c>
      <c r="P23" s="21">
        <v>0</v>
      </c>
    </row>
    <row r="24" spans="1:16" x14ac:dyDescent="0.2">
      <c r="A24" s="42">
        <v>42186</v>
      </c>
      <c r="B24" s="1" t="s">
        <v>127</v>
      </c>
      <c r="C24" s="33" t="s">
        <v>30</v>
      </c>
      <c r="D24" s="16">
        <v>4</v>
      </c>
      <c r="E24" s="50" t="s">
        <v>12</v>
      </c>
      <c r="F24" s="16">
        <v>5</v>
      </c>
      <c r="G24" s="16">
        <v>0</v>
      </c>
      <c r="H24" s="39">
        <f t="shared" si="0"/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</row>
    <row r="25" spans="1:16" x14ac:dyDescent="0.2">
      <c r="A25" s="42">
        <v>42234</v>
      </c>
      <c r="B25" s="1" t="s">
        <v>127</v>
      </c>
      <c r="C25" s="33" t="s">
        <v>30</v>
      </c>
      <c r="D25" s="16">
        <v>4</v>
      </c>
      <c r="E25" s="50" t="s">
        <v>12</v>
      </c>
      <c r="F25" s="16">
        <v>5</v>
      </c>
      <c r="G25" s="16">
        <v>0</v>
      </c>
      <c r="H25" s="39">
        <f t="shared" si="0"/>
        <v>0</v>
      </c>
      <c r="I25" s="16">
        <v>3</v>
      </c>
      <c r="J25" s="36">
        <v>0</v>
      </c>
      <c r="K25" s="36">
        <v>0</v>
      </c>
      <c r="L25" s="1">
        <v>0</v>
      </c>
      <c r="M25" s="21">
        <v>0</v>
      </c>
      <c r="N25" s="21">
        <v>0</v>
      </c>
      <c r="O25" s="21">
        <v>0</v>
      </c>
      <c r="P25" s="21">
        <v>0</v>
      </c>
    </row>
    <row r="26" spans="1:16" x14ac:dyDescent="0.2">
      <c r="A26" s="42">
        <v>42244</v>
      </c>
      <c r="B26" s="1">
        <v>1</v>
      </c>
      <c r="C26" s="33" t="s">
        <v>30</v>
      </c>
      <c r="D26" s="16">
        <v>4</v>
      </c>
      <c r="E26" s="50" t="s">
        <v>12</v>
      </c>
      <c r="F26" s="16">
        <v>5</v>
      </c>
      <c r="G26" s="16">
        <v>0</v>
      </c>
      <c r="H26" s="39">
        <f t="shared" si="0"/>
        <v>0</v>
      </c>
      <c r="I26" s="16">
        <v>1</v>
      </c>
      <c r="J26" s="36">
        <v>0</v>
      </c>
      <c r="K26" s="36">
        <v>0</v>
      </c>
      <c r="L26" s="1">
        <v>0</v>
      </c>
      <c r="M26" s="21">
        <v>0</v>
      </c>
      <c r="N26" s="21">
        <v>0</v>
      </c>
      <c r="O26" s="21">
        <v>0</v>
      </c>
      <c r="P26" s="21">
        <v>0</v>
      </c>
    </row>
    <row r="27" spans="1:16" x14ac:dyDescent="0.2">
      <c r="A27" s="42">
        <v>42249</v>
      </c>
      <c r="B27" s="1">
        <v>2</v>
      </c>
      <c r="C27" s="33" t="s">
        <v>30</v>
      </c>
      <c r="D27" s="16">
        <v>4</v>
      </c>
      <c r="E27" s="50" t="s">
        <v>12</v>
      </c>
      <c r="F27" s="16">
        <v>5</v>
      </c>
      <c r="G27" s="16">
        <v>1</v>
      </c>
      <c r="H27" s="39">
        <f t="shared" si="0"/>
        <v>0.2</v>
      </c>
      <c r="I27" s="16">
        <v>2</v>
      </c>
      <c r="J27" s="36">
        <v>0</v>
      </c>
      <c r="K27" s="36">
        <v>0</v>
      </c>
      <c r="L27" s="1">
        <v>0</v>
      </c>
      <c r="M27" s="21">
        <v>0</v>
      </c>
      <c r="N27" s="21">
        <v>0</v>
      </c>
      <c r="O27" s="21">
        <v>0</v>
      </c>
      <c r="P27" s="21">
        <v>0</v>
      </c>
    </row>
    <row r="28" spans="1:16" x14ac:dyDescent="0.2">
      <c r="A28" s="42">
        <v>42256</v>
      </c>
      <c r="B28" s="1">
        <v>3</v>
      </c>
      <c r="C28" s="33" t="s">
        <v>30</v>
      </c>
      <c r="D28" s="16">
        <v>4</v>
      </c>
      <c r="E28" s="50" t="s">
        <v>12</v>
      </c>
      <c r="F28" s="16">
        <v>5</v>
      </c>
      <c r="G28" s="16">
        <v>10</v>
      </c>
      <c r="H28" s="39">
        <f t="shared" si="0"/>
        <v>2</v>
      </c>
      <c r="I28" s="16">
        <v>13</v>
      </c>
      <c r="J28" s="36">
        <v>2</v>
      </c>
      <c r="K28" s="36">
        <v>0</v>
      </c>
      <c r="L28" s="1">
        <v>1</v>
      </c>
      <c r="M28" s="21">
        <v>1</v>
      </c>
      <c r="N28" s="21">
        <v>0</v>
      </c>
      <c r="O28" s="21">
        <v>0</v>
      </c>
      <c r="P28" s="21">
        <v>0</v>
      </c>
    </row>
    <row r="29" spans="1:16" x14ac:dyDescent="0.2">
      <c r="A29" s="42">
        <v>42263</v>
      </c>
      <c r="B29" s="1">
        <v>4</v>
      </c>
      <c r="C29" s="33" t="s">
        <v>30</v>
      </c>
      <c r="D29" s="16">
        <v>4</v>
      </c>
      <c r="E29" s="50" t="s">
        <v>12</v>
      </c>
      <c r="F29" s="16">
        <v>5</v>
      </c>
      <c r="G29" s="16">
        <v>6</v>
      </c>
      <c r="H29" s="39">
        <f t="shared" si="0"/>
        <v>1.2</v>
      </c>
      <c r="I29" s="16">
        <v>1</v>
      </c>
      <c r="J29" s="36">
        <v>11</v>
      </c>
      <c r="K29" s="36">
        <v>1</v>
      </c>
      <c r="L29" s="1">
        <v>3</v>
      </c>
      <c r="M29" s="21">
        <v>8</v>
      </c>
      <c r="N29" s="21">
        <v>0</v>
      </c>
      <c r="O29" s="21">
        <v>1</v>
      </c>
      <c r="P29" s="21">
        <v>0</v>
      </c>
    </row>
    <row r="30" spans="1:16" x14ac:dyDescent="0.2">
      <c r="A30" s="42">
        <v>42271</v>
      </c>
      <c r="B30" s="1">
        <v>5</v>
      </c>
      <c r="C30" s="33" t="s">
        <v>30</v>
      </c>
      <c r="D30" s="16">
        <v>4</v>
      </c>
      <c r="E30" s="50" t="s">
        <v>12</v>
      </c>
      <c r="F30" s="16">
        <v>5</v>
      </c>
      <c r="G30" s="16">
        <v>3</v>
      </c>
      <c r="H30" s="39">
        <f t="shared" si="0"/>
        <v>0.6</v>
      </c>
      <c r="I30" s="16">
        <v>0</v>
      </c>
      <c r="J30" s="36">
        <v>0</v>
      </c>
      <c r="K30" s="36">
        <v>0</v>
      </c>
      <c r="L30" s="1">
        <v>0</v>
      </c>
      <c r="M30" s="21">
        <v>0</v>
      </c>
      <c r="N30" s="21">
        <v>0</v>
      </c>
      <c r="O30" s="21">
        <v>0</v>
      </c>
      <c r="P30" s="21">
        <v>0</v>
      </c>
    </row>
    <row r="31" spans="1:16" x14ac:dyDescent="0.2">
      <c r="A31" s="42">
        <v>42164</v>
      </c>
      <c r="B31" s="1" t="s">
        <v>127</v>
      </c>
      <c r="C31" s="33" t="s">
        <v>31</v>
      </c>
      <c r="D31" s="16">
        <v>5</v>
      </c>
      <c r="E31" s="50" t="s">
        <v>13</v>
      </c>
      <c r="F31" s="16">
        <v>2</v>
      </c>
      <c r="G31" s="16">
        <v>0</v>
      </c>
      <c r="H31" s="39">
        <f t="shared" si="0"/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</row>
    <row r="32" spans="1:16" x14ac:dyDescent="0.2">
      <c r="A32" s="42">
        <v>42173</v>
      </c>
      <c r="B32" s="1" t="s">
        <v>127</v>
      </c>
      <c r="C32" s="33" t="s">
        <v>31</v>
      </c>
      <c r="D32" s="16">
        <v>5</v>
      </c>
      <c r="E32" s="50" t="s">
        <v>13</v>
      </c>
      <c r="F32" s="16">
        <v>2</v>
      </c>
      <c r="G32" s="16">
        <v>0</v>
      </c>
      <c r="H32" s="39">
        <f t="shared" si="0"/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</row>
    <row r="33" spans="1:17" x14ac:dyDescent="0.2">
      <c r="A33" s="42">
        <v>42180</v>
      </c>
      <c r="B33" s="1" t="s">
        <v>127</v>
      </c>
      <c r="C33" s="33" t="s">
        <v>31</v>
      </c>
      <c r="D33" s="16">
        <v>5</v>
      </c>
      <c r="E33" s="50" t="s">
        <v>13</v>
      </c>
      <c r="F33" s="16">
        <v>2</v>
      </c>
      <c r="G33" s="16">
        <v>0</v>
      </c>
      <c r="H33" s="39">
        <f t="shared" si="0"/>
        <v>0</v>
      </c>
      <c r="I33" s="16">
        <v>1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</row>
    <row r="34" spans="1:17" x14ac:dyDescent="0.2">
      <c r="A34" s="42">
        <v>42185</v>
      </c>
      <c r="B34" s="1" t="s">
        <v>127</v>
      </c>
      <c r="C34" s="33" t="s">
        <v>31</v>
      </c>
      <c r="D34" s="16">
        <v>5</v>
      </c>
      <c r="E34" s="50" t="s">
        <v>13</v>
      </c>
      <c r="F34" s="16">
        <v>2</v>
      </c>
      <c r="G34" s="16">
        <v>0</v>
      </c>
      <c r="H34" s="39">
        <f t="shared" si="0"/>
        <v>0</v>
      </c>
      <c r="I34" s="16">
        <v>1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</row>
    <row r="35" spans="1:17" x14ac:dyDescent="0.2">
      <c r="A35" s="42">
        <v>42191</v>
      </c>
      <c r="B35" s="1" t="s">
        <v>127</v>
      </c>
      <c r="C35" s="33" t="s">
        <v>31</v>
      </c>
      <c r="D35" s="16">
        <v>5</v>
      </c>
      <c r="E35" s="50" t="s">
        <v>13</v>
      </c>
      <c r="F35" s="16">
        <v>2</v>
      </c>
      <c r="G35" s="16">
        <v>0</v>
      </c>
      <c r="H35" s="39">
        <f t="shared" si="0"/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</row>
    <row r="36" spans="1:17" x14ac:dyDescent="0.2">
      <c r="A36" s="42">
        <v>42195</v>
      </c>
      <c r="B36" s="1" t="s">
        <v>127</v>
      </c>
      <c r="C36" s="33" t="s">
        <v>31</v>
      </c>
      <c r="D36" s="16">
        <v>5</v>
      </c>
      <c r="E36" s="50" t="s">
        <v>13</v>
      </c>
      <c r="F36" s="16">
        <v>2</v>
      </c>
      <c r="G36" s="16">
        <v>0</v>
      </c>
      <c r="H36" s="39">
        <f t="shared" si="0"/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</row>
    <row r="37" spans="1:17" x14ac:dyDescent="0.2">
      <c r="A37" s="42">
        <v>42202</v>
      </c>
      <c r="B37" s="1" t="s">
        <v>127</v>
      </c>
      <c r="C37" s="33" t="s">
        <v>31</v>
      </c>
      <c r="D37" s="16">
        <v>5</v>
      </c>
      <c r="E37" s="50" t="s">
        <v>13</v>
      </c>
      <c r="F37" s="16">
        <v>2</v>
      </c>
      <c r="G37" s="16">
        <v>0</v>
      </c>
      <c r="H37" s="39">
        <f t="shared" si="0"/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</row>
    <row r="38" spans="1:17" x14ac:dyDescent="0.2">
      <c r="A38" s="42">
        <v>42209</v>
      </c>
      <c r="B38" s="1" t="s">
        <v>127</v>
      </c>
      <c r="C38" s="33" t="s">
        <v>31</v>
      </c>
      <c r="D38" s="16">
        <v>5</v>
      </c>
      <c r="E38" s="50" t="s">
        <v>13</v>
      </c>
      <c r="F38" s="16">
        <v>2</v>
      </c>
      <c r="G38" s="16">
        <v>0</v>
      </c>
      <c r="H38" s="39">
        <f t="shared" ref="H38:H69" si="1">G38/F38</f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</row>
    <row r="39" spans="1:17" x14ac:dyDescent="0.2">
      <c r="A39" s="42">
        <v>42216</v>
      </c>
      <c r="B39" s="1" t="s">
        <v>127</v>
      </c>
      <c r="C39" s="33" t="s">
        <v>31</v>
      </c>
      <c r="D39" s="16">
        <v>5</v>
      </c>
      <c r="E39" s="50" t="s">
        <v>13</v>
      </c>
      <c r="F39" s="16">
        <v>2</v>
      </c>
      <c r="G39" s="16">
        <v>0</v>
      </c>
      <c r="H39" s="39">
        <f t="shared" si="1"/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/>
    </row>
    <row r="40" spans="1:17" x14ac:dyDescent="0.2">
      <c r="A40" s="42">
        <v>42236</v>
      </c>
      <c r="B40" s="1" t="s">
        <v>127</v>
      </c>
      <c r="C40" s="33" t="s">
        <v>31</v>
      </c>
      <c r="D40" s="16">
        <v>5</v>
      </c>
      <c r="E40" s="50" t="s">
        <v>13</v>
      </c>
      <c r="F40" s="16">
        <v>2</v>
      </c>
      <c r="G40" s="16">
        <v>0</v>
      </c>
      <c r="H40" s="39">
        <f t="shared" si="1"/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/>
    </row>
    <row r="41" spans="1:17" x14ac:dyDescent="0.2">
      <c r="A41" s="42">
        <v>42242</v>
      </c>
      <c r="B41" s="1">
        <v>1</v>
      </c>
      <c r="C41" s="33" t="s">
        <v>31</v>
      </c>
      <c r="D41" s="16">
        <v>5</v>
      </c>
      <c r="E41" s="50" t="s">
        <v>13</v>
      </c>
      <c r="F41" s="16">
        <v>2</v>
      </c>
      <c r="G41" s="16">
        <v>0</v>
      </c>
      <c r="H41" s="39">
        <f t="shared" si="1"/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/>
    </row>
    <row r="42" spans="1:17" x14ac:dyDescent="0.2">
      <c r="A42" s="42">
        <v>42251</v>
      </c>
      <c r="B42" s="1">
        <v>2</v>
      </c>
      <c r="C42" s="33" t="s">
        <v>31</v>
      </c>
      <c r="D42" s="16">
        <v>5</v>
      </c>
      <c r="E42" s="50" t="s">
        <v>13</v>
      </c>
      <c r="F42" s="16">
        <v>2</v>
      </c>
      <c r="G42" s="16">
        <v>1</v>
      </c>
      <c r="H42" s="39">
        <f t="shared" si="1"/>
        <v>0.5</v>
      </c>
      <c r="I42" s="16">
        <v>1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</row>
    <row r="43" spans="1:17" x14ac:dyDescent="0.2">
      <c r="A43" s="42">
        <v>42256</v>
      </c>
      <c r="B43" s="1">
        <v>3</v>
      </c>
      <c r="C43" s="33" t="s">
        <v>31</v>
      </c>
      <c r="D43" s="16">
        <v>5</v>
      </c>
      <c r="E43" s="50" t="s">
        <v>13</v>
      </c>
      <c r="F43" s="16">
        <v>2</v>
      </c>
      <c r="G43" s="16">
        <v>1</v>
      </c>
      <c r="H43" s="39">
        <f t="shared" si="1"/>
        <v>0.5</v>
      </c>
      <c r="I43" s="16">
        <v>5</v>
      </c>
      <c r="J43" s="16">
        <v>2</v>
      </c>
      <c r="K43" s="16">
        <v>0</v>
      </c>
      <c r="L43" s="16">
        <v>1</v>
      </c>
      <c r="M43" s="16">
        <v>1</v>
      </c>
      <c r="N43" s="16">
        <v>0</v>
      </c>
      <c r="O43" s="16">
        <v>0</v>
      </c>
      <c r="P43" s="16">
        <v>0</v>
      </c>
    </row>
    <row r="44" spans="1:17" x14ac:dyDescent="0.2">
      <c r="A44" s="42">
        <v>42261</v>
      </c>
      <c r="B44" s="1">
        <v>4</v>
      </c>
      <c r="C44" s="33" t="s">
        <v>31</v>
      </c>
      <c r="D44" s="16">
        <v>5</v>
      </c>
      <c r="E44" s="50" t="s">
        <v>13</v>
      </c>
      <c r="F44" s="16">
        <v>2</v>
      </c>
      <c r="G44" s="16">
        <v>3</v>
      </c>
      <c r="H44" s="39">
        <f t="shared" si="1"/>
        <v>1.5</v>
      </c>
      <c r="I44" s="16">
        <v>1</v>
      </c>
      <c r="J44" s="16">
        <v>2</v>
      </c>
      <c r="K44" s="16">
        <v>3</v>
      </c>
      <c r="L44" s="16">
        <v>1</v>
      </c>
      <c r="M44" s="16">
        <v>1</v>
      </c>
      <c r="N44" s="16">
        <v>3</v>
      </c>
      <c r="O44" s="16">
        <v>0</v>
      </c>
      <c r="P44" s="16">
        <v>0</v>
      </c>
    </row>
    <row r="45" spans="1:17" x14ac:dyDescent="0.2">
      <c r="A45" s="42">
        <v>42268</v>
      </c>
      <c r="B45" s="1">
        <v>5</v>
      </c>
      <c r="C45" s="33" t="s">
        <v>31</v>
      </c>
      <c r="D45" s="16">
        <v>5</v>
      </c>
      <c r="E45" s="50" t="s">
        <v>13</v>
      </c>
      <c r="F45" s="16">
        <v>2</v>
      </c>
      <c r="G45" s="16">
        <v>0</v>
      </c>
      <c r="H45" s="39">
        <f t="shared" si="1"/>
        <v>0</v>
      </c>
      <c r="I45" s="16">
        <v>1</v>
      </c>
      <c r="J45" s="16">
        <v>1</v>
      </c>
      <c r="K45" s="16">
        <v>0</v>
      </c>
      <c r="L45" s="16">
        <v>0</v>
      </c>
      <c r="M45" s="16">
        <v>1</v>
      </c>
      <c r="N45" s="16">
        <v>0</v>
      </c>
      <c r="O45" s="16">
        <v>0</v>
      </c>
      <c r="P45" s="16">
        <v>0</v>
      </c>
    </row>
    <row r="46" spans="1:17" x14ac:dyDescent="0.2">
      <c r="A46" s="42">
        <v>42164</v>
      </c>
      <c r="B46" s="1" t="s">
        <v>127</v>
      </c>
      <c r="C46" s="33" t="s">
        <v>32</v>
      </c>
      <c r="D46" s="16">
        <v>6</v>
      </c>
      <c r="E46" s="50" t="s">
        <v>14</v>
      </c>
      <c r="F46" s="16">
        <v>4</v>
      </c>
      <c r="G46" s="16">
        <v>0</v>
      </c>
      <c r="H46" s="39">
        <f t="shared" si="1"/>
        <v>0</v>
      </c>
      <c r="I46" s="16">
        <v>4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</row>
    <row r="47" spans="1:17" x14ac:dyDescent="0.2">
      <c r="A47" s="42">
        <v>42173</v>
      </c>
      <c r="B47" s="1" t="s">
        <v>127</v>
      </c>
      <c r="C47" s="33" t="s">
        <v>32</v>
      </c>
      <c r="D47" s="16">
        <v>6</v>
      </c>
      <c r="E47" s="50" t="s">
        <v>14</v>
      </c>
      <c r="F47" s="16">
        <v>4</v>
      </c>
      <c r="G47" s="16">
        <v>0</v>
      </c>
      <c r="H47" s="39">
        <f t="shared" si="1"/>
        <v>0</v>
      </c>
      <c r="I47" s="16">
        <v>3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</row>
    <row r="48" spans="1:17" x14ac:dyDescent="0.2">
      <c r="A48" s="42">
        <v>42177</v>
      </c>
      <c r="B48" s="1" t="s">
        <v>127</v>
      </c>
      <c r="C48" s="33" t="s">
        <v>32</v>
      </c>
      <c r="D48" s="16">
        <v>6</v>
      </c>
      <c r="E48" s="50" t="s">
        <v>14</v>
      </c>
      <c r="F48" s="16">
        <v>4</v>
      </c>
      <c r="G48" s="16">
        <v>0</v>
      </c>
      <c r="H48" s="39">
        <f t="shared" si="1"/>
        <v>0</v>
      </c>
      <c r="I48" s="16">
        <v>3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</row>
    <row r="49" spans="1:16" x14ac:dyDescent="0.2">
      <c r="A49" s="42">
        <v>42180</v>
      </c>
      <c r="B49" s="1" t="s">
        <v>127</v>
      </c>
      <c r="C49" s="33" t="s">
        <v>32</v>
      </c>
      <c r="D49" s="16">
        <v>6</v>
      </c>
      <c r="E49" s="50" t="s">
        <v>14</v>
      </c>
      <c r="F49" s="16">
        <v>4</v>
      </c>
      <c r="G49" s="16">
        <v>0</v>
      </c>
      <c r="H49" s="39">
        <f t="shared" si="1"/>
        <v>0</v>
      </c>
      <c r="I49" s="16">
        <v>3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</row>
    <row r="50" spans="1:16" x14ac:dyDescent="0.2">
      <c r="A50" s="42">
        <v>42185</v>
      </c>
      <c r="B50" s="1" t="s">
        <v>127</v>
      </c>
      <c r="C50" s="33" t="s">
        <v>32</v>
      </c>
      <c r="D50" s="16">
        <v>6</v>
      </c>
      <c r="E50" s="50" t="s">
        <v>14</v>
      </c>
      <c r="F50" s="16">
        <v>4</v>
      </c>
      <c r="G50" s="16">
        <v>0</v>
      </c>
      <c r="H50" s="39">
        <f t="shared" si="1"/>
        <v>0</v>
      </c>
      <c r="I50" s="16">
        <v>1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</row>
    <row r="51" spans="1:16" x14ac:dyDescent="0.2">
      <c r="A51" s="42">
        <v>42191</v>
      </c>
      <c r="B51" s="1" t="s">
        <v>127</v>
      </c>
      <c r="C51" s="33" t="s">
        <v>32</v>
      </c>
      <c r="D51" s="16">
        <v>6</v>
      </c>
      <c r="E51" s="50" t="s">
        <v>14</v>
      </c>
      <c r="F51" s="16">
        <v>4</v>
      </c>
      <c r="G51" s="16">
        <v>0</v>
      </c>
      <c r="H51" s="39">
        <f t="shared" si="1"/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</row>
    <row r="52" spans="1:16" x14ac:dyDescent="0.2">
      <c r="A52" s="42">
        <v>42195</v>
      </c>
      <c r="B52" s="1" t="s">
        <v>127</v>
      </c>
      <c r="C52" s="33" t="s">
        <v>32</v>
      </c>
      <c r="D52" s="16">
        <v>6</v>
      </c>
      <c r="E52" s="50" t="s">
        <v>14</v>
      </c>
      <c r="F52" s="16">
        <v>4</v>
      </c>
      <c r="G52" s="16">
        <v>0</v>
      </c>
      <c r="H52" s="39">
        <f t="shared" si="1"/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</row>
    <row r="53" spans="1:16" x14ac:dyDescent="0.2">
      <c r="A53" s="42">
        <v>42202</v>
      </c>
      <c r="B53" s="1" t="s">
        <v>127</v>
      </c>
      <c r="C53" s="33" t="s">
        <v>32</v>
      </c>
      <c r="D53" s="16">
        <v>6</v>
      </c>
      <c r="E53" s="50" t="s">
        <v>14</v>
      </c>
      <c r="F53" s="16">
        <v>4</v>
      </c>
      <c r="G53" s="16">
        <v>0</v>
      </c>
      <c r="H53" s="39">
        <f t="shared" si="1"/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</row>
    <row r="54" spans="1:16" x14ac:dyDescent="0.2">
      <c r="A54" s="42">
        <v>42209</v>
      </c>
      <c r="B54" s="1" t="s">
        <v>127</v>
      </c>
      <c r="C54" s="33" t="s">
        <v>32</v>
      </c>
      <c r="D54" s="16">
        <v>6</v>
      </c>
      <c r="E54" s="50" t="s">
        <v>14</v>
      </c>
      <c r="F54" s="16">
        <v>4</v>
      </c>
      <c r="G54" s="16">
        <v>0</v>
      </c>
      <c r="H54" s="39">
        <f t="shared" si="1"/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</row>
    <row r="55" spans="1:16" x14ac:dyDescent="0.2">
      <c r="A55" s="42">
        <v>42216</v>
      </c>
      <c r="B55" s="1" t="s">
        <v>127</v>
      </c>
      <c r="C55" s="33" t="s">
        <v>32</v>
      </c>
      <c r="D55" s="16">
        <v>6</v>
      </c>
      <c r="E55" s="50" t="s">
        <v>14</v>
      </c>
      <c r="F55" s="16">
        <v>4</v>
      </c>
      <c r="G55" s="16">
        <v>0</v>
      </c>
      <c r="H55" s="39">
        <f t="shared" si="1"/>
        <v>0</v>
      </c>
      <c r="I55" s="16">
        <v>1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</row>
    <row r="56" spans="1:16" x14ac:dyDescent="0.2">
      <c r="A56" s="42">
        <v>42236</v>
      </c>
      <c r="B56" s="1" t="s">
        <v>127</v>
      </c>
      <c r="C56" s="33" t="s">
        <v>32</v>
      </c>
      <c r="D56" s="16">
        <v>6</v>
      </c>
      <c r="E56" s="50" t="s">
        <v>14</v>
      </c>
      <c r="F56" s="16">
        <v>4</v>
      </c>
      <c r="G56" s="16">
        <v>0</v>
      </c>
      <c r="H56" s="39">
        <f t="shared" si="1"/>
        <v>0</v>
      </c>
      <c r="I56" s="16">
        <v>2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</row>
    <row r="57" spans="1:16" x14ac:dyDescent="0.2">
      <c r="A57" s="42">
        <v>42242</v>
      </c>
      <c r="B57" s="1">
        <v>1</v>
      </c>
      <c r="C57" s="33" t="s">
        <v>32</v>
      </c>
      <c r="D57" s="16">
        <v>6</v>
      </c>
      <c r="E57" s="50" t="s">
        <v>14</v>
      </c>
      <c r="F57" s="16">
        <v>4</v>
      </c>
      <c r="G57" s="16">
        <v>0</v>
      </c>
      <c r="H57" s="39">
        <f t="shared" si="1"/>
        <v>0</v>
      </c>
      <c r="I57" s="16">
        <v>1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</row>
    <row r="58" spans="1:16" x14ac:dyDescent="0.2">
      <c r="A58" s="42">
        <v>42251</v>
      </c>
      <c r="B58" s="1">
        <v>2</v>
      </c>
      <c r="C58" s="33" t="s">
        <v>32</v>
      </c>
      <c r="D58" s="16">
        <v>6</v>
      </c>
      <c r="E58" s="50" t="s">
        <v>14</v>
      </c>
      <c r="F58" s="16">
        <v>4</v>
      </c>
      <c r="G58" s="16">
        <v>2</v>
      </c>
      <c r="H58" s="39">
        <f t="shared" si="1"/>
        <v>0.5</v>
      </c>
      <c r="I58" s="16">
        <v>7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</row>
    <row r="59" spans="1:16" x14ac:dyDescent="0.2">
      <c r="A59" s="42">
        <v>42256</v>
      </c>
      <c r="B59" s="1">
        <v>3</v>
      </c>
      <c r="C59" s="33" t="s">
        <v>32</v>
      </c>
      <c r="D59" s="16">
        <v>6</v>
      </c>
      <c r="E59" s="50" t="s">
        <v>14</v>
      </c>
      <c r="F59" s="16">
        <v>4</v>
      </c>
      <c r="G59" s="16">
        <v>3</v>
      </c>
      <c r="H59" s="39">
        <f t="shared" si="1"/>
        <v>0.75</v>
      </c>
      <c r="I59" s="16">
        <v>5</v>
      </c>
      <c r="J59" s="16">
        <v>1</v>
      </c>
      <c r="K59" s="16">
        <v>1</v>
      </c>
      <c r="L59" s="16">
        <v>1</v>
      </c>
      <c r="M59" s="16">
        <v>0</v>
      </c>
      <c r="N59" s="16">
        <v>0</v>
      </c>
      <c r="O59" s="16">
        <v>1</v>
      </c>
      <c r="P59" s="16">
        <v>0</v>
      </c>
    </row>
    <row r="60" spans="1:16" x14ac:dyDescent="0.2">
      <c r="A60" s="42">
        <v>42261</v>
      </c>
      <c r="B60" s="1">
        <v>4</v>
      </c>
      <c r="C60" s="33" t="s">
        <v>32</v>
      </c>
      <c r="D60" s="16">
        <v>6</v>
      </c>
      <c r="E60" s="50" t="s">
        <v>14</v>
      </c>
      <c r="F60" s="16">
        <v>4</v>
      </c>
      <c r="G60" s="16">
        <v>4</v>
      </c>
      <c r="H60" s="39">
        <f t="shared" si="1"/>
        <v>1</v>
      </c>
      <c r="I60" s="16">
        <v>4</v>
      </c>
      <c r="J60" s="16">
        <v>1</v>
      </c>
      <c r="K60" s="16">
        <v>0</v>
      </c>
      <c r="L60" s="16">
        <v>1</v>
      </c>
      <c r="M60" s="16">
        <v>0</v>
      </c>
      <c r="N60" s="16">
        <v>0</v>
      </c>
      <c r="O60" s="16">
        <v>0</v>
      </c>
      <c r="P60" s="16">
        <v>0</v>
      </c>
    </row>
    <row r="61" spans="1:16" x14ac:dyDescent="0.2">
      <c r="A61" s="42">
        <v>42268</v>
      </c>
      <c r="B61" s="1">
        <v>5</v>
      </c>
      <c r="C61" s="33" t="s">
        <v>32</v>
      </c>
      <c r="D61" s="16">
        <v>6</v>
      </c>
      <c r="E61" s="50" t="s">
        <v>14</v>
      </c>
      <c r="F61" s="16">
        <v>4</v>
      </c>
      <c r="G61" s="16">
        <v>0</v>
      </c>
      <c r="H61" s="39">
        <f t="shared" si="1"/>
        <v>0</v>
      </c>
      <c r="I61" s="16">
        <v>0</v>
      </c>
      <c r="J61" s="16">
        <v>3</v>
      </c>
      <c r="K61" s="16">
        <v>0</v>
      </c>
      <c r="L61" s="16">
        <v>1</v>
      </c>
      <c r="M61" s="16">
        <v>2</v>
      </c>
      <c r="N61" s="16">
        <v>0</v>
      </c>
      <c r="O61" s="16">
        <v>0</v>
      </c>
      <c r="P61" s="16">
        <v>0</v>
      </c>
    </row>
    <row r="62" spans="1:16" x14ac:dyDescent="0.2">
      <c r="A62" s="42">
        <v>42148</v>
      </c>
      <c r="B62" s="1" t="s">
        <v>127</v>
      </c>
      <c r="C62" s="33" t="s">
        <v>33</v>
      </c>
      <c r="D62" s="16">
        <v>7</v>
      </c>
      <c r="E62" s="50" t="s">
        <v>15</v>
      </c>
      <c r="F62" s="16">
        <v>3</v>
      </c>
      <c r="G62" s="16">
        <v>0</v>
      </c>
      <c r="H62" s="39">
        <f t="shared" si="1"/>
        <v>0</v>
      </c>
      <c r="I62" s="16">
        <v>35</v>
      </c>
      <c r="J62" s="16">
        <v>0</v>
      </c>
      <c r="K62" s="16">
        <v>1</v>
      </c>
      <c r="L62" s="16">
        <v>0</v>
      </c>
      <c r="M62" s="16">
        <v>0</v>
      </c>
      <c r="N62" s="16">
        <v>0</v>
      </c>
      <c r="O62" s="16">
        <v>1</v>
      </c>
      <c r="P62" s="16">
        <v>0</v>
      </c>
    </row>
    <row r="63" spans="1:16" x14ac:dyDescent="0.2">
      <c r="A63" s="42">
        <v>42160</v>
      </c>
      <c r="B63" s="1" t="s">
        <v>127</v>
      </c>
      <c r="C63" s="33" t="s">
        <v>33</v>
      </c>
      <c r="D63" s="16">
        <v>7</v>
      </c>
      <c r="E63" s="50" t="s">
        <v>15</v>
      </c>
      <c r="F63" s="16">
        <v>3</v>
      </c>
      <c r="G63" s="16">
        <v>0</v>
      </c>
      <c r="H63" s="39">
        <f t="shared" si="1"/>
        <v>0</v>
      </c>
      <c r="I63" s="16">
        <v>17</v>
      </c>
      <c r="J63" s="16">
        <v>3</v>
      </c>
      <c r="K63" s="16">
        <v>2</v>
      </c>
      <c r="L63" s="16">
        <v>1</v>
      </c>
      <c r="M63" s="16">
        <v>2</v>
      </c>
      <c r="N63" s="16">
        <v>1</v>
      </c>
      <c r="O63" s="16">
        <v>1</v>
      </c>
      <c r="P63" s="16">
        <v>0</v>
      </c>
    </row>
    <row r="64" spans="1:16" x14ac:dyDescent="0.2">
      <c r="A64" s="42">
        <v>42167</v>
      </c>
      <c r="B64" s="1" t="s">
        <v>127</v>
      </c>
      <c r="C64" s="33" t="s">
        <v>33</v>
      </c>
      <c r="D64" s="16">
        <v>7</v>
      </c>
      <c r="E64" s="50" t="s">
        <v>15</v>
      </c>
      <c r="F64" s="16">
        <v>3</v>
      </c>
      <c r="G64" s="16">
        <v>0</v>
      </c>
      <c r="H64" s="39">
        <f t="shared" si="1"/>
        <v>0</v>
      </c>
      <c r="I64" s="16">
        <v>11</v>
      </c>
      <c r="J64" s="16">
        <v>1</v>
      </c>
      <c r="K64" s="16">
        <v>2</v>
      </c>
      <c r="L64" s="16">
        <v>0</v>
      </c>
      <c r="M64" s="16">
        <v>1</v>
      </c>
      <c r="N64" s="16">
        <v>2</v>
      </c>
      <c r="O64" s="16">
        <v>0</v>
      </c>
      <c r="P64" s="16">
        <v>0</v>
      </c>
    </row>
    <row r="65" spans="1:16" x14ac:dyDescent="0.2">
      <c r="A65" s="42">
        <v>42174</v>
      </c>
      <c r="B65" s="1" t="s">
        <v>127</v>
      </c>
      <c r="C65" s="33" t="s">
        <v>33</v>
      </c>
      <c r="D65" s="16">
        <v>7</v>
      </c>
      <c r="E65" s="50" t="s">
        <v>15</v>
      </c>
      <c r="F65" s="16">
        <v>3</v>
      </c>
      <c r="G65" s="16">
        <v>0</v>
      </c>
      <c r="H65" s="39">
        <f t="shared" si="1"/>
        <v>0</v>
      </c>
      <c r="I65" s="16">
        <v>4</v>
      </c>
      <c r="J65" s="16">
        <v>1</v>
      </c>
      <c r="K65" s="16">
        <v>5</v>
      </c>
      <c r="L65" s="16">
        <v>1</v>
      </c>
      <c r="M65" s="16">
        <v>0</v>
      </c>
      <c r="N65" s="16">
        <v>2</v>
      </c>
      <c r="O65" s="16">
        <v>3</v>
      </c>
      <c r="P65" s="16">
        <v>0</v>
      </c>
    </row>
    <row r="66" spans="1:16" x14ac:dyDescent="0.2">
      <c r="A66" s="42">
        <v>42178</v>
      </c>
      <c r="B66" s="1" t="s">
        <v>127</v>
      </c>
      <c r="C66" s="33" t="s">
        <v>33</v>
      </c>
      <c r="D66" s="16">
        <v>7</v>
      </c>
      <c r="E66" s="50" t="s">
        <v>15</v>
      </c>
      <c r="F66" s="16">
        <v>3</v>
      </c>
      <c r="G66" s="16">
        <v>0</v>
      </c>
      <c r="H66" s="39">
        <f t="shared" si="1"/>
        <v>0</v>
      </c>
      <c r="I66" s="16">
        <v>0</v>
      </c>
      <c r="J66" s="16">
        <v>1</v>
      </c>
      <c r="K66" s="16">
        <v>0</v>
      </c>
      <c r="L66" s="16">
        <v>1</v>
      </c>
      <c r="M66" s="16">
        <v>0</v>
      </c>
      <c r="N66" s="16">
        <v>0</v>
      </c>
      <c r="O66" s="16">
        <v>0</v>
      </c>
      <c r="P66" s="16">
        <v>0</v>
      </c>
    </row>
    <row r="67" spans="1:16" x14ac:dyDescent="0.2">
      <c r="A67" s="42">
        <v>42181</v>
      </c>
      <c r="B67" s="1" t="s">
        <v>127</v>
      </c>
      <c r="C67" s="33" t="s">
        <v>33</v>
      </c>
      <c r="D67" s="16">
        <v>7</v>
      </c>
      <c r="E67" s="50" t="s">
        <v>15</v>
      </c>
      <c r="F67" s="16">
        <v>3</v>
      </c>
      <c r="G67" s="16">
        <v>0</v>
      </c>
      <c r="H67" s="39">
        <f t="shared" si="1"/>
        <v>0</v>
      </c>
      <c r="I67" s="16">
        <v>6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</row>
    <row r="68" spans="1:16" x14ac:dyDescent="0.2">
      <c r="A68" s="42">
        <v>42187</v>
      </c>
      <c r="B68" s="1" t="s">
        <v>127</v>
      </c>
      <c r="C68" s="33" t="s">
        <v>33</v>
      </c>
      <c r="D68" s="16">
        <v>7</v>
      </c>
      <c r="E68" s="50" t="s">
        <v>15</v>
      </c>
      <c r="F68" s="16">
        <v>3</v>
      </c>
      <c r="G68" s="16">
        <v>0</v>
      </c>
      <c r="H68" s="39">
        <f t="shared" si="1"/>
        <v>0</v>
      </c>
      <c r="I68" s="16">
        <v>4</v>
      </c>
      <c r="J68" s="16">
        <v>0</v>
      </c>
      <c r="K68" s="16">
        <v>1</v>
      </c>
      <c r="L68" s="16">
        <v>0</v>
      </c>
      <c r="M68" s="16">
        <v>0</v>
      </c>
      <c r="N68" s="16">
        <v>1</v>
      </c>
      <c r="O68" s="16">
        <v>0</v>
      </c>
      <c r="P68" s="16">
        <v>3</v>
      </c>
    </row>
    <row r="69" spans="1:16" x14ac:dyDescent="0.2">
      <c r="A69" s="42">
        <v>42194</v>
      </c>
      <c r="B69" s="1" t="s">
        <v>127</v>
      </c>
      <c r="C69" s="33" t="s">
        <v>33</v>
      </c>
      <c r="D69" s="16">
        <v>7</v>
      </c>
      <c r="E69" s="50" t="s">
        <v>15</v>
      </c>
      <c r="F69" s="16">
        <v>3</v>
      </c>
      <c r="G69" s="16">
        <v>0</v>
      </c>
      <c r="H69" s="39">
        <f t="shared" si="1"/>
        <v>0</v>
      </c>
      <c r="I69" s="16">
        <v>2</v>
      </c>
      <c r="J69" s="16">
        <v>1</v>
      </c>
      <c r="K69" s="16">
        <v>1</v>
      </c>
      <c r="L69" s="16">
        <v>1</v>
      </c>
      <c r="M69" s="16">
        <v>0</v>
      </c>
      <c r="N69" s="16">
        <v>1</v>
      </c>
      <c r="O69" s="16">
        <v>0</v>
      </c>
      <c r="P69" s="16">
        <v>0</v>
      </c>
    </row>
    <row r="70" spans="1:16" x14ac:dyDescent="0.2">
      <c r="A70" s="42">
        <v>42202</v>
      </c>
      <c r="B70" s="1" t="s">
        <v>127</v>
      </c>
      <c r="C70" s="33" t="s">
        <v>33</v>
      </c>
      <c r="D70" s="16">
        <v>7</v>
      </c>
      <c r="E70" s="50" t="s">
        <v>15</v>
      </c>
      <c r="F70" s="16">
        <v>3</v>
      </c>
      <c r="G70" s="16">
        <v>0</v>
      </c>
      <c r="H70" s="39">
        <f t="shared" ref="H70:H101" si="2">G70/F70</f>
        <v>0</v>
      </c>
      <c r="I70" s="16">
        <v>1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</row>
    <row r="71" spans="1:16" x14ac:dyDescent="0.2">
      <c r="A71" s="42">
        <v>42216</v>
      </c>
      <c r="B71" s="1" t="s">
        <v>127</v>
      </c>
      <c r="C71" s="33" t="s">
        <v>33</v>
      </c>
      <c r="D71" s="16">
        <v>7</v>
      </c>
      <c r="E71" s="50" t="s">
        <v>15</v>
      </c>
      <c r="F71" s="16">
        <v>3</v>
      </c>
      <c r="G71" s="16">
        <v>0</v>
      </c>
      <c r="H71" s="39">
        <f t="shared" si="2"/>
        <v>0</v>
      </c>
      <c r="I71" s="16">
        <v>1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</row>
    <row r="72" spans="1:16" x14ac:dyDescent="0.2">
      <c r="A72" s="42">
        <v>42230</v>
      </c>
      <c r="B72" s="1" t="s">
        <v>127</v>
      </c>
      <c r="C72" s="33" t="s">
        <v>33</v>
      </c>
      <c r="D72" s="16">
        <v>7</v>
      </c>
      <c r="E72" s="50" t="s">
        <v>15</v>
      </c>
      <c r="F72" s="16">
        <v>3</v>
      </c>
      <c r="G72" s="16">
        <v>0</v>
      </c>
      <c r="H72" s="39">
        <f t="shared" si="2"/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</row>
    <row r="73" spans="1:16" x14ac:dyDescent="0.2">
      <c r="A73" s="42">
        <v>42242</v>
      </c>
      <c r="B73" s="1">
        <v>1</v>
      </c>
      <c r="C73" s="33" t="s">
        <v>33</v>
      </c>
      <c r="D73" s="16">
        <v>7</v>
      </c>
      <c r="E73" s="50" t="s">
        <v>15</v>
      </c>
      <c r="F73" s="16">
        <v>3</v>
      </c>
      <c r="G73" s="16">
        <v>0</v>
      </c>
      <c r="H73" s="39">
        <f t="shared" si="2"/>
        <v>0</v>
      </c>
      <c r="I73" s="16">
        <v>1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</row>
    <row r="74" spans="1:16" x14ac:dyDescent="0.2">
      <c r="A74" s="42">
        <v>42251</v>
      </c>
      <c r="B74" s="1">
        <v>2</v>
      </c>
      <c r="C74" s="33" t="s">
        <v>33</v>
      </c>
      <c r="D74" s="16">
        <v>7</v>
      </c>
      <c r="E74" s="50" t="s">
        <v>15</v>
      </c>
      <c r="F74" s="16">
        <v>3</v>
      </c>
      <c r="G74" s="16">
        <v>1</v>
      </c>
      <c r="H74" s="39">
        <f t="shared" si="2"/>
        <v>0.33333333333333331</v>
      </c>
      <c r="I74" s="16">
        <v>9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</row>
    <row r="75" spans="1:16" x14ac:dyDescent="0.2">
      <c r="A75" s="42">
        <v>42256</v>
      </c>
      <c r="B75" s="1">
        <v>3</v>
      </c>
      <c r="C75" s="33" t="s">
        <v>33</v>
      </c>
      <c r="D75" s="16">
        <v>7</v>
      </c>
      <c r="E75" s="50" t="s">
        <v>15</v>
      </c>
      <c r="F75" s="16">
        <v>3</v>
      </c>
      <c r="G75" s="16">
        <v>2</v>
      </c>
      <c r="H75" s="39">
        <f t="shared" si="2"/>
        <v>0.66666666666666663</v>
      </c>
      <c r="I75" s="16">
        <v>3</v>
      </c>
      <c r="J75" s="16">
        <v>1</v>
      </c>
      <c r="K75" s="16">
        <v>1</v>
      </c>
      <c r="L75" s="16">
        <v>0</v>
      </c>
      <c r="M75" s="16">
        <v>1</v>
      </c>
      <c r="N75" s="16">
        <v>1</v>
      </c>
      <c r="O75" s="16">
        <v>0</v>
      </c>
      <c r="P75" s="16">
        <v>0</v>
      </c>
    </row>
    <row r="76" spans="1:16" x14ac:dyDescent="0.2">
      <c r="A76" s="42">
        <v>42263</v>
      </c>
      <c r="B76" s="1">
        <v>4</v>
      </c>
      <c r="C76" s="33" t="s">
        <v>33</v>
      </c>
      <c r="D76" s="16">
        <v>7</v>
      </c>
      <c r="E76" s="50" t="s">
        <v>15</v>
      </c>
      <c r="F76" s="16">
        <v>3</v>
      </c>
      <c r="G76" s="16">
        <v>1</v>
      </c>
      <c r="H76" s="39">
        <f t="shared" si="2"/>
        <v>0.33333333333333331</v>
      </c>
      <c r="I76" s="16">
        <v>2</v>
      </c>
      <c r="J76" s="16">
        <v>0</v>
      </c>
      <c r="K76" s="16">
        <v>2</v>
      </c>
      <c r="L76" s="16">
        <v>0</v>
      </c>
      <c r="M76" s="16">
        <v>0</v>
      </c>
      <c r="N76" s="16">
        <v>2</v>
      </c>
      <c r="O76" s="16">
        <v>0</v>
      </c>
      <c r="P76" s="16">
        <v>0</v>
      </c>
    </row>
    <row r="77" spans="1:16" x14ac:dyDescent="0.2">
      <c r="A77" s="42">
        <v>42270</v>
      </c>
      <c r="B77" s="1">
        <v>5</v>
      </c>
      <c r="C77" s="33" t="s">
        <v>33</v>
      </c>
      <c r="D77" s="16">
        <v>7</v>
      </c>
      <c r="E77" s="50" t="s">
        <v>15</v>
      </c>
      <c r="F77" s="16">
        <v>3</v>
      </c>
      <c r="G77" s="16">
        <v>0</v>
      </c>
      <c r="H77" s="39">
        <f t="shared" si="2"/>
        <v>0</v>
      </c>
      <c r="I77" s="16">
        <v>0</v>
      </c>
      <c r="J77" s="16">
        <v>1</v>
      </c>
      <c r="K77" s="16">
        <v>1</v>
      </c>
      <c r="L77" s="16">
        <v>0</v>
      </c>
      <c r="M77" s="16">
        <v>1</v>
      </c>
      <c r="N77" s="16">
        <v>0</v>
      </c>
      <c r="O77" s="16">
        <v>1</v>
      </c>
      <c r="P77" s="16">
        <v>0</v>
      </c>
    </row>
    <row r="78" spans="1:16" x14ac:dyDescent="0.2">
      <c r="A78" s="42">
        <v>42139</v>
      </c>
      <c r="B78" s="1" t="s">
        <v>127</v>
      </c>
      <c r="C78" s="33" t="s">
        <v>34</v>
      </c>
      <c r="D78" s="16">
        <v>8</v>
      </c>
      <c r="E78" s="50" t="s">
        <v>16</v>
      </c>
      <c r="F78" s="33">
        <v>3</v>
      </c>
      <c r="G78" s="33">
        <v>0</v>
      </c>
      <c r="H78" s="51">
        <f t="shared" si="2"/>
        <v>0</v>
      </c>
      <c r="I78" s="33">
        <v>0</v>
      </c>
      <c r="J78" s="33">
        <v>0</v>
      </c>
      <c r="K78" s="33">
        <v>0</v>
      </c>
      <c r="L78" s="33">
        <v>0</v>
      </c>
      <c r="M78" s="33">
        <v>0</v>
      </c>
      <c r="N78" s="33">
        <v>0</v>
      </c>
      <c r="O78" s="33">
        <v>0</v>
      </c>
      <c r="P78" s="33">
        <v>0</v>
      </c>
    </row>
    <row r="79" spans="1:16" x14ac:dyDescent="0.2">
      <c r="A79" s="42">
        <v>42148</v>
      </c>
      <c r="B79" s="1" t="s">
        <v>127</v>
      </c>
      <c r="C79" s="33" t="s">
        <v>34</v>
      </c>
      <c r="D79" s="16">
        <v>8</v>
      </c>
      <c r="E79" s="50" t="s">
        <v>16</v>
      </c>
      <c r="F79" s="16">
        <v>3</v>
      </c>
      <c r="G79" s="16">
        <v>0</v>
      </c>
      <c r="H79" s="39">
        <f t="shared" si="2"/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</row>
    <row r="80" spans="1:16" x14ac:dyDescent="0.2">
      <c r="A80" s="42">
        <v>42160</v>
      </c>
      <c r="B80" s="1" t="s">
        <v>127</v>
      </c>
      <c r="C80" s="33" t="s">
        <v>34</v>
      </c>
      <c r="D80" s="16">
        <v>8</v>
      </c>
      <c r="E80" s="50" t="s">
        <v>16</v>
      </c>
      <c r="F80" s="16">
        <v>3</v>
      </c>
      <c r="G80" s="16">
        <v>0</v>
      </c>
      <c r="H80" s="39">
        <f t="shared" si="2"/>
        <v>0</v>
      </c>
      <c r="I80" s="16">
        <v>2</v>
      </c>
      <c r="J80" s="16">
        <v>4</v>
      </c>
      <c r="K80" s="16">
        <v>0</v>
      </c>
      <c r="L80" s="16">
        <v>2</v>
      </c>
      <c r="M80" s="16">
        <v>1</v>
      </c>
      <c r="N80" s="16">
        <v>0</v>
      </c>
      <c r="O80" s="16">
        <v>0</v>
      </c>
      <c r="P80" s="16">
        <v>1</v>
      </c>
    </row>
    <row r="81" spans="1:16" x14ac:dyDescent="0.2">
      <c r="A81" s="42">
        <v>42167</v>
      </c>
      <c r="B81" s="1" t="s">
        <v>127</v>
      </c>
      <c r="C81" s="33" t="s">
        <v>34</v>
      </c>
      <c r="D81" s="16">
        <v>8</v>
      </c>
      <c r="E81" s="50" t="s">
        <v>16</v>
      </c>
      <c r="F81" s="16">
        <v>3</v>
      </c>
      <c r="G81" s="16">
        <v>0</v>
      </c>
      <c r="H81" s="39">
        <f t="shared" si="2"/>
        <v>0</v>
      </c>
      <c r="I81" s="16">
        <v>9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</row>
    <row r="82" spans="1:16" x14ac:dyDescent="0.2">
      <c r="A82" s="42">
        <v>42174</v>
      </c>
      <c r="B82" s="1" t="s">
        <v>127</v>
      </c>
      <c r="C82" s="33" t="s">
        <v>34</v>
      </c>
      <c r="D82" s="16">
        <v>8</v>
      </c>
      <c r="E82" s="50" t="s">
        <v>16</v>
      </c>
      <c r="F82" s="16">
        <v>3</v>
      </c>
      <c r="G82" s="16">
        <v>0</v>
      </c>
      <c r="H82" s="39">
        <f t="shared" si="2"/>
        <v>0</v>
      </c>
      <c r="I82" s="16">
        <v>3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</row>
    <row r="83" spans="1:16" x14ac:dyDescent="0.2">
      <c r="A83" s="42">
        <v>42181</v>
      </c>
      <c r="B83" s="1" t="s">
        <v>127</v>
      </c>
      <c r="C83" s="33" t="s">
        <v>34</v>
      </c>
      <c r="D83" s="16">
        <v>8</v>
      </c>
      <c r="E83" s="50" t="s">
        <v>16</v>
      </c>
      <c r="F83" s="16">
        <v>3</v>
      </c>
      <c r="G83" s="16">
        <v>0</v>
      </c>
      <c r="H83" s="39">
        <f t="shared" si="2"/>
        <v>0</v>
      </c>
      <c r="I83" s="16">
        <v>6</v>
      </c>
      <c r="J83" s="16">
        <v>1</v>
      </c>
      <c r="K83" s="16">
        <v>0</v>
      </c>
      <c r="L83" s="16">
        <v>0</v>
      </c>
      <c r="M83" s="16">
        <v>1</v>
      </c>
      <c r="N83" s="16">
        <v>0</v>
      </c>
      <c r="O83" s="16">
        <v>0</v>
      </c>
      <c r="P83" s="16">
        <v>0</v>
      </c>
    </row>
    <row r="84" spans="1:16" x14ac:dyDescent="0.2">
      <c r="A84" s="42">
        <v>42187</v>
      </c>
      <c r="B84" s="1" t="s">
        <v>127</v>
      </c>
      <c r="C84" s="33" t="s">
        <v>34</v>
      </c>
      <c r="D84" s="16">
        <v>8</v>
      </c>
      <c r="E84" s="50" t="s">
        <v>16</v>
      </c>
      <c r="F84" s="16">
        <v>3</v>
      </c>
      <c r="G84" s="16">
        <v>0</v>
      </c>
      <c r="H84" s="39">
        <f t="shared" si="2"/>
        <v>0</v>
      </c>
      <c r="I84" s="16">
        <v>0</v>
      </c>
      <c r="J84" s="16">
        <v>1</v>
      </c>
      <c r="K84" s="16">
        <v>0</v>
      </c>
      <c r="L84" s="16">
        <v>0</v>
      </c>
      <c r="M84" s="16">
        <v>1</v>
      </c>
      <c r="N84" s="16">
        <v>0</v>
      </c>
      <c r="O84" s="16">
        <v>0</v>
      </c>
      <c r="P84" s="16">
        <v>1</v>
      </c>
    </row>
    <row r="85" spans="1:16" x14ac:dyDescent="0.2">
      <c r="A85" s="42">
        <v>42194</v>
      </c>
      <c r="B85" s="1" t="s">
        <v>127</v>
      </c>
      <c r="C85" s="33" t="s">
        <v>34</v>
      </c>
      <c r="D85" s="16">
        <v>8</v>
      </c>
      <c r="E85" s="50" t="s">
        <v>16</v>
      </c>
      <c r="F85" s="16">
        <v>3</v>
      </c>
      <c r="G85" s="16">
        <v>0</v>
      </c>
      <c r="H85" s="39">
        <f t="shared" si="2"/>
        <v>0</v>
      </c>
      <c r="I85" s="16">
        <v>3</v>
      </c>
      <c r="J85" s="16">
        <v>1</v>
      </c>
      <c r="K85" s="16">
        <v>0</v>
      </c>
      <c r="L85" s="16">
        <v>1</v>
      </c>
      <c r="M85" s="16">
        <v>0</v>
      </c>
      <c r="N85" s="16">
        <v>0</v>
      </c>
      <c r="O85" s="16">
        <v>0</v>
      </c>
      <c r="P85" s="16">
        <v>0</v>
      </c>
    </row>
    <row r="86" spans="1:16" x14ac:dyDescent="0.2">
      <c r="A86" s="42">
        <v>42202</v>
      </c>
      <c r="B86" s="1" t="s">
        <v>127</v>
      </c>
      <c r="C86" s="33" t="s">
        <v>34</v>
      </c>
      <c r="D86" s="16">
        <v>8</v>
      </c>
      <c r="E86" s="50" t="s">
        <v>16</v>
      </c>
      <c r="F86" s="16">
        <v>3</v>
      </c>
      <c r="G86" s="16">
        <v>0</v>
      </c>
      <c r="H86" s="39">
        <f t="shared" si="2"/>
        <v>0</v>
      </c>
      <c r="I86" s="16">
        <v>3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</row>
    <row r="87" spans="1:16" x14ac:dyDescent="0.2">
      <c r="A87" s="42">
        <v>42216</v>
      </c>
      <c r="B87" s="1" t="s">
        <v>127</v>
      </c>
      <c r="C87" s="33" t="s">
        <v>34</v>
      </c>
      <c r="D87" s="16">
        <v>8</v>
      </c>
      <c r="E87" s="50" t="s">
        <v>16</v>
      </c>
      <c r="F87" s="16">
        <v>3</v>
      </c>
      <c r="G87" s="16">
        <v>0</v>
      </c>
      <c r="H87" s="39">
        <f t="shared" si="2"/>
        <v>0</v>
      </c>
      <c r="I87" s="16">
        <v>4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</row>
    <row r="88" spans="1:16" x14ac:dyDescent="0.2">
      <c r="A88" s="42">
        <v>42230</v>
      </c>
      <c r="B88" s="1" t="s">
        <v>127</v>
      </c>
      <c r="C88" s="33" t="s">
        <v>34</v>
      </c>
      <c r="D88" s="16">
        <v>8</v>
      </c>
      <c r="E88" s="50" t="s">
        <v>16</v>
      </c>
      <c r="F88" s="16">
        <v>3</v>
      </c>
      <c r="G88" s="16">
        <v>0</v>
      </c>
      <c r="H88" s="39">
        <f t="shared" si="2"/>
        <v>0</v>
      </c>
      <c r="I88" s="16">
        <v>4</v>
      </c>
      <c r="J88" s="16">
        <v>1</v>
      </c>
      <c r="K88" s="16">
        <v>0</v>
      </c>
      <c r="L88" s="16">
        <v>0</v>
      </c>
      <c r="M88" s="16">
        <v>1</v>
      </c>
      <c r="N88" s="16">
        <v>0</v>
      </c>
      <c r="O88" s="16">
        <v>0</v>
      </c>
      <c r="P88" s="16">
        <v>0</v>
      </c>
    </row>
    <row r="89" spans="1:16" x14ac:dyDescent="0.2">
      <c r="A89" s="42">
        <v>42242</v>
      </c>
      <c r="B89" s="1">
        <v>1</v>
      </c>
      <c r="C89" s="33" t="s">
        <v>34</v>
      </c>
      <c r="D89" s="16">
        <v>8</v>
      </c>
      <c r="E89" s="50" t="s">
        <v>16</v>
      </c>
      <c r="F89" s="16">
        <v>3</v>
      </c>
      <c r="G89" s="16">
        <v>0</v>
      </c>
      <c r="H89" s="39">
        <f t="shared" si="2"/>
        <v>0</v>
      </c>
      <c r="I89" s="16">
        <v>4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</row>
    <row r="90" spans="1:16" x14ac:dyDescent="0.2">
      <c r="A90" s="42">
        <v>42251</v>
      </c>
      <c r="B90" s="1">
        <v>2</v>
      </c>
      <c r="C90" s="33" t="s">
        <v>34</v>
      </c>
      <c r="D90" s="16">
        <v>8</v>
      </c>
      <c r="E90" s="50" t="s">
        <v>16</v>
      </c>
      <c r="F90" s="16">
        <v>3</v>
      </c>
      <c r="G90" s="16">
        <v>4</v>
      </c>
      <c r="H90" s="39">
        <f t="shared" si="2"/>
        <v>1.3333333333333333</v>
      </c>
      <c r="I90" s="16">
        <v>13</v>
      </c>
      <c r="J90" s="16">
        <v>1</v>
      </c>
      <c r="K90" s="16">
        <v>1</v>
      </c>
      <c r="L90" s="16">
        <v>1</v>
      </c>
      <c r="M90" s="16">
        <v>0</v>
      </c>
      <c r="N90" s="16">
        <v>0</v>
      </c>
      <c r="O90" s="16">
        <v>1</v>
      </c>
      <c r="P90" s="16">
        <v>0</v>
      </c>
    </row>
    <row r="91" spans="1:16" x14ac:dyDescent="0.2">
      <c r="A91" s="42">
        <v>42256</v>
      </c>
      <c r="B91" s="1">
        <v>3</v>
      </c>
      <c r="C91" s="33" t="s">
        <v>34</v>
      </c>
      <c r="D91" s="16">
        <v>8</v>
      </c>
      <c r="E91" s="50" t="s">
        <v>16</v>
      </c>
      <c r="F91" s="16">
        <v>3</v>
      </c>
      <c r="G91" s="16">
        <v>9</v>
      </c>
      <c r="H91" s="39">
        <f t="shared" si="2"/>
        <v>3</v>
      </c>
      <c r="I91" s="16">
        <v>39</v>
      </c>
      <c r="J91" s="16">
        <v>2</v>
      </c>
      <c r="K91" s="16">
        <v>4</v>
      </c>
      <c r="L91" s="16">
        <v>1</v>
      </c>
      <c r="M91" s="16">
        <v>1</v>
      </c>
      <c r="N91" s="16">
        <v>1</v>
      </c>
      <c r="O91" s="16">
        <v>3</v>
      </c>
      <c r="P91" s="16">
        <v>0</v>
      </c>
    </row>
    <row r="92" spans="1:16" x14ac:dyDescent="0.2">
      <c r="A92" s="42">
        <v>42263</v>
      </c>
      <c r="B92" s="1">
        <v>4</v>
      </c>
      <c r="C92" s="33" t="s">
        <v>34</v>
      </c>
      <c r="D92" s="16">
        <v>8</v>
      </c>
      <c r="E92" s="50" t="s">
        <v>16</v>
      </c>
      <c r="F92" s="16">
        <v>3</v>
      </c>
      <c r="G92" s="16">
        <v>11</v>
      </c>
      <c r="H92" s="39">
        <f t="shared" si="2"/>
        <v>3.6666666666666665</v>
      </c>
      <c r="I92" s="16">
        <v>30</v>
      </c>
      <c r="J92" s="16">
        <v>8</v>
      </c>
      <c r="K92" s="16">
        <v>11</v>
      </c>
      <c r="L92" s="16">
        <v>5</v>
      </c>
      <c r="M92" s="16">
        <v>3</v>
      </c>
      <c r="N92" s="16">
        <v>5</v>
      </c>
      <c r="O92" s="16">
        <v>6</v>
      </c>
      <c r="P92" s="16">
        <v>0</v>
      </c>
    </row>
    <row r="93" spans="1:16" x14ac:dyDescent="0.2">
      <c r="A93" s="42">
        <v>42270</v>
      </c>
      <c r="B93" s="1">
        <v>5</v>
      </c>
      <c r="C93" s="33" t="s">
        <v>34</v>
      </c>
      <c r="D93" s="16">
        <v>8</v>
      </c>
      <c r="E93" s="50" t="s">
        <v>16</v>
      </c>
      <c r="F93" s="16">
        <v>3</v>
      </c>
      <c r="G93" s="16">
        <v>3</v>
      </c>
      <c r="H93" s="39">
        <f t="shared" si="2"/>
        <v>1</v>
      </c>
      <c r="I93" s="16">
        <v>5</v>
      </c>
      <c r="J93" s="16">
        <v>2</v>
      </c>
      <c r="K93" s="16">
        <v>1</v>
      </c>
      <c r="L93" s="16">
        <v>0</v>
      </c>
      <c r="M93" s="16">
        <v>2</v>
      </c>
      <c r="N93" s="16">
        <v>1</v>
      </c>
      <c r="O93" s="16">
        <v>0</v>
      </c>
      <c r="P93" s="16">
        <v>0</v>
      </c>
    </row>
    <row r="94" spans="1:16" x14ac:dyDescent="0.2">
      <c r="A94" s="42">
        <v>42167</v>
      </c>
      <c r="B94" s="1" t="s">
        <v>127</v>
      </c>
      <c r="C94" s="33" t="s">
        <v>35</v>
      </c>
      <c r="D94" s="16">
        <v>9</v>
      </c>
      <c r="E94" s="50" t="s">
        <v>17</v>
      </c>
      <c r="F94" s="16">
        <v>4</v>
      </c>
      <c r="G94" s="16">
        <v>0</v>
      </c>
      <c r="H94" s="39">
        <f t="shared" si="2"/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</row>
    <row r="95" spans="1:16" x14ac:dyDescent="0.2">
      <c r="A95" s="42">
        <v>42174</v>
      </c>
      <c r="B95" s="1" t="s">
        <v>127</v>
      </c>
      <c r="C95" s="33" t="s">
        <v>35</v>
      </c>
      <c r="D95" s="16">
        <v>9</v>
      </c>
      <c r="E95" s="50" t="s">
        <v>17</v>
      </c>
      <c r="F95" s="16">
        <v>4</v>
      </c>
      <c r="G95" s="16">
        <v>0</v>
      </c>
      <c r="H95" s="39">
        <f t="shared" si="2"/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</row>
    <row r="96" spans="1:16" x14ac:dyDescent="0.2">
      <c r="A96" s="42">
        <v>42179</v>
      </c>
      <c r="B96" s="1" t="s">
        <v>127</v>
      </c>
      <c r="C96" s="33" t="s">
        <v>35</v>
      </c>
      <c r="D96" s="16">
        <v>9</v>
      </c>
      <c r="E96" s="50" t="s">
        <v>17</v>
      </c>
      <c r="F96" s="16">
        <v>4</v>
      </c>
      <c r="G96" s="16">
        <v>0</v>
      </c>
      <c r="H96" s="39">
        <f t="shared" si="2"/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</row>
    <row r="97" spans="1:17" x14ac:dyDescent="0.2">
      <c r="A97" s="42">
        <v>42185</v>
      </c>
      <c r="B97" s="1" t="s">
        <v>127</v>
      </c>
      <c r="C97" s="33" t="s">
        <v>35</v>
      </c>
      <c r="D97" s="16">
        <v>9</v>
      </c>
      <c r="E97" s="50" t="s">
        <v>17</v>
      </c>
      <c r="F97" s="16">
        <v>4</v>
      </c>
      <c r="G97" s="16">
        <v>0</v>
      </c>
      <c r="H97" s="39">
        <f t="shared" si="2"/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</row>
    <row r="98" spans="1:17" x14ac:dyDescent="0.2">
      <c r="A98" s="42">
        <v>42198</v>
      </c>
      <c r="B98" s="1" t="s">
        <v>127</v>
      </c>
      <c r="C98" s="33" t="s">
        <v>35</v>
      </c>
      <c r="D98" s="16">
        <v>9</v>
      </c>
      <c r="E98" s="50" t="s">
        <v>17</v>
      </c>
      <c r="F98" s="16">
        <v>4</v>
      </c>
      <c r="G98" s="16">
        <v>0</v>
      </c>
      <c r="H98" s="39">
        <f t="shared" si="2"/>
        <v>0</v>
      </c>
      <c r="I98" s="16">
        <v>1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</row>
    <row r="99" spans="1:17" x14ac:dyDescent="0.2">
      <c r="A99" s="42">
        <v>42206</v>
      </c>
      <c r="B99" s="1" t="s">
        <v>127</v>
      </c>
      <c r="C99" s="33" t="s">
        <v>35</v>
      </c>
      <c r="D99" s="16">
        <v>9</v>
      </c>
      <c r="E99" s="50" t="s">
        <v>17</v>
      </c>
      <c r="F99" s="16">
        <v>4</v>
      </c>
      <c r="G99" s="16">
        <v>0</v>
      </c>
      <c r="H99" s="39">
        <f t="shared" si="2"/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</row>
    <row r="100" spans="1:17" x14ac:dyDescent="0.2">
      <c r="A100" s="42">
        <v>42256</v>
      </c>
      <c r="B100" s="1">
        <v>1</v>
      </c>
      <c r="C100" s="33" t="s">
        <v>35</v>
      </c>
      <c r="D100" s="16">
        <v>9</v>
      </c>
      <c r="E100" s="50" t="s">
        <v>17</v>
      </c>
      <c r="F100" s="16">
        <v>4</v>
      </c>
      <c r="G100" s="16">
        <v>2</v>
      </c>
      <c r="H100" s="39">
        <f t="shared" si="2"/>
        <v>0.5</v>
      </c>
      <c r="I100" s="16">
        <v>1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</row>
    <row r="101" spans="1:17" x14ac:dyDescent="0.2">
      <c r="A101" s="42">
        <v>42263</v>
      </c>
      <c r="B101" s="1">
        <v>2</v>
      </c>
      <c r="C101" s="33" t="s">
        <v>35</v>
      </c>
      <c r="D101" s="16">
        <v>9</v>
      </c>
      <c r="E101" s="50" t="s">
        <v>17</v>
      </c>
      <c r="F101" s="16">
        <v>4</v>
      </c>
      <c r="G101" s="16">
        <v>0</v>
      </c>
      <c r="H101" s="39">
        <f t="shared" si="2"/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</row>
    <row r="102" spans="1:17" x14ac:dyDescent="0.2">
      <c r="A102" s="42">
        <v>42270</v>
      </c>
      <c r="B102" s="1">
        <v>3</v>
      </c>
      <c r="C102" s="33" t="s">
        <v>35</v>
      </c>
      <c r="D102" s="16">
        <v>9</v>
      </c>
      <c r="E102" s="50" t="s">
        <v>17</v>
      </c>
      <c r="F102" s="16">
        <v>4</v>
      </c>
      <c r="G102" s="16">
        <v>0</v>
      </c>
      <c r="H102" s="39">
        <f t="shared" ref="H102:H132" si="3">G102/F102</f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1</v>
      </c>
    </row>
    <row r="103" spans="1:17" x14ac:dyDescent="0.2">
      <c r="A103" s="42">
        <v>42167</v>
      </c>
      <c r="B103" s="1" t="s">
        <v>127</v>
      </c>
      <c r="C103" s="33" t="s">
        <v>36</v>
      </c>
      <c r="D103" s="16">
        <v>10</v>
      </c>
      <c r="E103" s="50" t="s">
        <v>18</v>
      </c>
      <c r="F103" s="46">
        <v>5</v>
      </c>
      <c r="G103" s="46">
        <v>0</v>
      </c>
      <c r="H103" s="47">
        <f t="shared" si="3"/>
        <v>0</v>
      </c>
      <c r="I103" s="16">
        <v>1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</row>
    <row r="104" spans="1:17" x14ac:dyDescent="0.2">
      <c r="A104" s="42">
        <v>42174</v>
      </c>
      <c r="B104" s="1" t="s">
        <v>127</v>
      </c>
      <c r="C104" s="33" t="s">
        <v>36</v>
      </c>
      <c r="D104" s="16">
        <v>10</v>
      </c>
      <c r="E104" s="50" t="s">
        <v>18</v>
      </c>
      <c r="F104" s="46">
        <v>5</v>
      </c>
      <c r="G104" s="46">
        <v>0</v>
      </c>
      <c r="H104" s="47">
        <f t="shared" si="3"/>
        <v>0</v>
      </c>
      <c r="I104" s="16">
        <v>1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</row>
    <row r="105" spans="1:17" x14ac:dyDescent="0.2">
      <c r="A105" s="42">
        <v>42179</v>
      </c>
      <c r="B105" s="1" t="s">
        <v>127</v>
      </c>
      <c r="C105" s="33" t="s">
        <v>36</v>
      </c>
      <c r="D105" s="16">
        <v>10</v>
      </c>
      <c r="E105" s="50" t="s">
        <v>18</v>
      </c>
      <c r="F105" s="46">
        <v>5</v>
      </c>
      <c r="G105" s="46">
        <v>0</v>
      </c>
      <c r="H105" s="47">
        <f t="shared" si="3"/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</row>
    <row r="106" spans="1:17" x14ac:dyDescent="0.2">
      <c r="A106" s="42">
        <v>42185</v>
      </c>
      <c r="B106" s="1" t="s">
        <v>127</v>
      </c>
      <c r="C106" s="33" t="s">
        <v>36</v>
      </c>
      <c r="D106" s="16">
        <v>10</v>
      </c>
      <c r="E106" s="50" t="s">
        <v>18</v>
      </c>
      <c r="F106" s="46">
        <v>5</v>
      </c>
      <c r="G106" s="46">
        <v>0</v>
      </c>
      <c r="H106" s="47">
        <f t="shared" si="3"/>
        <v>0</v>
      </c>
      <c r="I106" s="16">
        <v>4</v>
      </c>
      <c r="J106" s="16">
        <v>0</v>
      </c>
      <c r="K106" s="16">
        <v>1</v>
      </c>
      <c r="L106" s="16">
        <v>0</v>
      </c>
      <c r="M106" s="16">
        <v>0</v>
      </c>
      <c r="N106" s="16">
        <v>0</v>
      </c>
      <c r="O106" s="16">
        <v>1</v>
      </c>
      <c r="P106" s="16">
        <v>0</v>
      </c>
      <c r="Q106" s="16"/>
    </row>
    <row r="107" spans="1:17" x14ac:dyDescent="0.2">
      <c r="A107" s="42">
        <v>42198</v>
      </c>
      <c r="B107" s="1" t="s">
        <v>127</v>
      </c>
      <c r="C107" s="33" t="s">
        <v>36</v>
      </c>
      <c r="D107" s="16">
        <v>10</v>
      </c>
      <c r="E107" s="50" t="s">
        <v>18</v>
      </c>
      <c r="F107" s="46">
        <v>5</v>
      </c>
      <c r="G107" s="46">
        <v>0</v>
      </c>
      <c r="H107" s="47">
        <f t="shared" si="3"/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/>
    </row>
    <row r="108" spans="1:17" x14ac:dyDescent="0.2">
      <c r="A108" s="42">
        <v>42206</v>
      </c>
      <c r="B108" s="1" t="s">
        <v>127</v>
      </c>
      <c r="C108" s="33" t="s">
        <v>36</v>
      </c>
      <c r="D108" s="16">
        <v>10</v>
      </c>
      <c r="E108" s="50" t="s">
        <v>18</v>
      </c>
      <c r="F108" s="46">
        <v>5</v>
      </c>
      <c r="G108" s="46">
        <v>0</v>
      </c>
      <c r="H108" s="47">
        <f t="shared" si="3"/>
        <v>0</v>
      </c>
      <c r="I108" s="16">
        <v>1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/>
    </row>
    <row r="109" spans="1:17" x14ac:dyDescent="0.2">
      <c r="A109" s="42">
        <v>42250</v>
      </c>
      <c r="B109" s="1">
        <v>1</v>
      </c>
      <c r="C109" s="33" t="s">
        <v>36</v>
      </c>
      <c r="D109" s="16">
        <v>10</v>
      </c>
      <c r="E109" s="50" t="s">
        <v>18</v>
      </c>
      <c r="F109" s="46">
        <v>5</v>
      </c>
      <c r="G109" s="46">
        <v>9</v>
      </c>
      <c r="H109" s="47">
        <f t="shared" si="3"/>
        <v>1.8</v>
      </c>
      <c r="I109" s="16">
        <v>13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/>
    </row>
    <row r="110" spans="1:17" x14ac:dyDescent="0.2">
      <c r="A110" s="42">
        <v>42257</v>
      </c>
      <c r="B110" s="1">
        <v>2</v>
      </c>
      <c r="C110" s="33" t="s">
        <v>36</v>
      </c>
      <c r="D110" s="16">
        <v>10</v>
      </c>
      <c r="E110" s="50" t="s">
        <v>18</v>
      </c>
      <c r="F110" s="46">
        <v>5</v>
      </c>
      <c r="G110" s="46">
        <v>14</v>
      </c>
      <c r="H110" s="47">
        <f t="shared" si="3"/>
        <v>2.8</v>
      </c>
      <c r="I110" s="16">
        <v>19</v>
      </c>
      <c r="J110" s="16">
        <v>3</v>
      </c>
      <c r="K110" s="16">
        <v>2</v>
      </c>
      <c r="L110" s="16">
        <v>1</v>
      </c>
      <c r="M110" s="16">
        <v>2</v>
      </c>
      <c r="N110" s="16">
        <v>1</v>
      </c>
      <c r="O110" s="16">
        <v>1</v>
      </c>
      <c r="P110" s="16">
        <v>0</v>
      </c>
      <c r="Q110" s="16"/>
    </row>
    <row r="111" spans="1:17" x14ac:dyDescent="0.2">
      <c r="A111" s="42">
        <v>42265</v>
      </c>
      <c r="B111" s="1">
        <v>3</v>
      </c>
      <c r="C111" s="33" t="s">
        <v>36</v>
      </c>
      <c r="D111" s="16">
        <v>10</v>
      </c>
      <c r="E111" s="50" t="s">
        <v>18</v>
      </c>
      <c r="F111" s="46">
        <v>5</v>
      </c>
      <c r="G111" s="46">
        <v>2</v>
      </c>
      <c r="H111" s="47">
        <f t="shared" si="3"/>
        <v>0.4</v>
      </c>
      <c r="I111" s="16">
        <v>2</v>
      </c>
      <c r="J111" s="16">
        <v>2</v>
      </c>
      <c r="K111" s="16">
        <v>3</v>
      </c>
      <c r="L111" s="16">
        <v>1</v>
      </c>
      <c r="M111" s="16">
        <v>1</v>
      </c>
      <c r="N111" s="16">
        <v>0</v>
      </c>
      <c r="O111" s="16">
        <v>3</v>
      </c>
      <c r="P111" s="16">
        <v>0</v>
      </c>
      <c r="Q111" s="16"/>
    </row>
    <row r="112" spans="1:17" x14ac:dyDescent="0.2">
      <c r="A112" s="42">
        <v>42272</v>
      </c>
      <c r="B112" s="1">
        <v>4</v>
      </c>
      <c r="C112" s="33" t="s">
        <v>36</v>
      </c>
      <c r="D112" s="16">
        <v>10</v>
      </c>
      <c r="E112" s="50" t="s">
        <v>18</v>
      </c>
      <c r="F112" s="46">
        <v>5</v>
      </c>
      <c r="G112" s="46">
        <v>1</v>
      </c>
      <c r="H112" s="47">
        <f t="shared" si="3"/>
        <v>0.2</v>
      </c>
      <c r="I112" s="16">
        <v>2</v>
      </c>
      <c r="J112" s="16">
        <v>1</v>
      </c>
      <c r="K112" s="16">
        <v>1</v>
      </c>
      <c r="L112" s="16">
        <v>0</v>
      </c>
      <c r="M112" s="16">
        <v>1</v>
      </c>
      <c r="N112" s="16">
        <v>1</v>
      </c>
      <c r="O112" s="16">
        <v>0</v>
      </c>
      <c r="P112" s="16">
        <v>0</v>
      </c>
      <c r="Q112" s="16"/>
    </row>
    <row r="113" spans="1:17" x14ac:dyDescent="0.2">
      <c r="A113" s="42">
        <v>42173</v>
      </c>
      <c r="B113" s="1" t="s">
        <v>127</v>
      </c>
      <c r="C113" s="33" t="s">
        <v>37</v>
      </c>
      <c r="D113" s="16">
        <v>11</v>
      </c>
      <c r="E113" s="50" t="s">
        <v>19</v>
      </c>
      <c r="F113" s="16">
        <v>4</v>
      </c>
      <c r="G113" s="16">
        <v>0</v>
      </c>
      <c r="H113" s="39">
        <f t="shared" si="3"/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/>
    </row>
    <row r="114" spans="1:17" x14ac:dyDescent="0.2">
      <c r="A114" s="42">
        <v>42194</v>
      </c>
      <c r="B114" s="1" t="s">
        <v>127</v>
      </c>
      <c r="C114" s="33" t="s">
        <v>37</v>
      </c>
      <c r="D114" s="16">
        <v>11</v>
      </c>
      <c r="E114" s="50" t="s">
        <v>19</v>
      </c>
      <c r="F114" s="16">
        <v>4</v>
      </c>
      <c r="G114" s="16">
        <v>0</v>
      </c>
      <c r="H114" s="39">
        <f t="shared" si="3"/>
        <v>0</v>
      </c>
      <c r="I114" s="16">
        <v>1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/>
    </row>
    <row r="115" spans="1:17" x14ac:dyDescent="0.2">
      <c r="A115" s="42">
        <v>42247</v>
      </c>
      <c r="B115" s="1">
        <v>1</v>
      </c>
      <c r="C115" s="33" t="s">
        <v>37</v>
      </c>
      <c r="D115" s="16">
        <v>11</v>
      </c>
      <c r="E115" s="50" t="s">
        <v>19</v>
      </c>
      <c r="F115" s="16">
        <v>4</v>
      </c>
      <c r="G115" s="16">
        <v>0</v>
      </c>
      <c r="H115" s="39">
        <f t="shared" si="3"/>
        <v>0</v>
      </c>
      <c r="I115" s="16">
        <v>1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</row>
    <row r="116" spans="1:17" x14ac:dyDescent="0.2">
      <c r="A116" s="42">
        <v>42257</v>
      </c>
      <c r="B116" s="1">
        <v>2</v>
      </c>
      <c r="C116" s="33" t="s">
        <v>37</v>
      </c>
      <c r="D116" s="16">
        <v>11</v>
      </c>
      <c r="E116" s="50" t="s">
        <v>19</v>
      </c>
      <c r="F116" s="16">
        <v>4</v>
      </c>
      <c r="G116" s="16">
        <v>0</v>
      </c>
      <c r="H116" s="39">
        <f t="shared" si="3"/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</row>
    <row r="117" spans="1:17" x14ac:dyDescent="0.2">
      <c r="A117" s="42">
        <v>42265</v>
      </c>
      <c r="B117" s="1">
        <v>3</v>
      </c>
      <c r="C117" s="33" t="s">
        <v>37</v>
      </c>
      <c r="D117" s="16">
        <v>11</v>
      </c>
      <c r="E117" s="50" t="s">
        <v>19</v>
      </c>
      <c r="F117" s="16">
        <v>4</v>
      </c>
      <c r="G117" s="16">
        <v>1</v>
      </c>
      <c r="H117" s="39">
        <f t="shared" si="3"/>
        <v>0.25</v>
      </c>
      <c r="I117" s="16">
        <v>1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</row>
    <row r="118" spans="1:17" x14ac:dyDescent="0.2">
      <c r="A118" s="42">
        <v>42272</v>
      </c>
      <c r="B118" s="1">
        <v>4</v>
      </c>
      <c r="C118" s="33" t="s">
        <v>37</v>
      </c>
      <c r="D118" s="16">
        <v>11</v>
      </c>
      <c r="E118" s="50" t="s">
        <v>19</v>
      </c>
      <c r="F118" s="16">
        <v>4</v>
      </c>
      <c r="G118" s="16">
        <v>0</v>
      </c>
      <c r="H118" s="39">
        <f t="shared" si="3"/>
        <v>0</v>
      </c>
      <c r="I118" s="16">
        <v>0</v>
      </c>
      <c r="J118" s="16">
        <v>0</v>
      </c>
      <c r="K118" s="16">
        <v>1</v>
      </c>
      <c r="L118" s="16">
        <v>0</v>
      </c>
      <c r="M118" s="16">
        <v>0</v>
      </c>
      <c r="N118" s="16">
        <v>0</v>
      </c>
      <c r="O118" s="16">
        <v>1</v>
      </c>
      <c r="P118" s="16">
        <v>0</v>
      </c>
    </row>
    <row r="119" spans="1:17" x14ac:dyDescent="0.2">
      <c r="A119" s="42">
        <v>42242</v>
      </c>
      <c r="B119" s="1">
        <v>1</v>
      </c>
      <c r="C119" s="33" t="s">
        <v>38</v>
      </c>
      <c r="D119" s="16">
        <v>12</v>
      </c>
      <c r="E119" s="50" t="s">
        <v>20</v>
      </c>
      <c r="F119" s="46">
        <v>3</v>
      </c>
      <c r="G119" s="46">
        <v>0</v>
      </c>
      <c r="H119" s="47">
        <f t="shared" si="3"/>
        <v>0</v>
      </c>
      <c r="I119" s="46">
        <v>1</v>
      </c>
      <c r="J119" s="46">
        <v>0</v>
      </c>
      <c r="K119" s="46">
        <v>0</v>
      </c>
      <c r="L119" s="46">
        <v>0</v>
      </c>
      <c r="M119" s="46">
        <v>0</v>
      </c>
      <c r="N119" s="46">
        <v>0</v>
      </c>
      <c r="O119" s="46">
        <v>0</v>
      </c>
      <c r="P119" s="46">
        <v>0</v>
      </c>
    </row>
    <row r="120" spans="1:17" x14ac:dyDescent="0.2">
      <c r="A120" s="42">
        <v>42258</v>
      </c>
      <c r="B120" s="1">
        <v>2</v>
      </c>
      <c r="C120" s="33" t="s">
        <v>38</v>
      </c>
      <c r="D120" s="16">
        <v>12</v>
      </c>
      <c r="E120" s="50" t="s">
        <v>20</v>
      </c>
      <c r="F120" s="46">
        <v>3</v>
      </c>
      <c r="G120" s="46">
        <v>3</v>
      </c>
      <c r="H120" s="47">
        <f t="shared" si="3"/>
        <v>1</v>
      </c>
      <c r="I120" s="46">
        <v>2</v>
      </c>
      <c r="J120" s="46">
        <v>0</v>
      </c>
      <c r="K120" s="46">
        <v>0</v>
      </c>
      <c r="L120" s="46">
        <v>0</v>
      </c>
      <c r="M120" s="46">
        <v>0</v>
      </c>
      <c r="N120" s="46">
        <v>0</v>
      </c>
      <c r="O120" s="46">
        <v>0</v>
      </c>
      <c r="P120" s="46">
        <v>0</v>
      </c>
    </row>
    <row r="121" spans="1:17" x14ac:dyDescent="0.2">
      <c r="A121" s="42">
        <v>42263</v>
      </c>
      <c r="B121" s="1">
        <v>3</v>
      </c>
      <c r="C121" s="33" t="s">
        <v>38</v>
      </c>
      <c r="D121" s="16">
        <v>12</v>
      </c>
      <c r="E121" s="50" t="s">
        <v>20</v>
      </c>
      <c r="F121" s="46">
        <v>3</v>
      </c>
      <c r="G121" s="46">
        <v>1</v>
      </c>
      <c r="H121" s="47">
        <f t="shared" si="3"/>
        <v>0.33333333333333331</v>
      </c>
      <c r="I121" s="46">
        <v>1</v>
      </c>
      <c r="J121" s="46">
        <v>1</v>
      </c>
      <c r="K121" s="46">
        <v>0</v>
      </c>
      <c r="L121" s="46">
        <v>0</v>
      </c>
      <c r="M121" s="46">
        <v>1</v>
      </c>
      <c r="N121" s="46">
        <v>0</v>
      </c>
      <c r="O121" s="46">
        <v>0</v>
      </c>
      <c r="P121" s="46">
        <v>0</v>
      </c>
    </row>
    <row r="122" spans="1:17" x14ac:dyDescent="0.2">
      <c r="A122" s="42">
        <v>42272</v>
      </c>
      <c r="B122" s="1">
        <v>4</v>
      </c>
      <c r="C122" s="33" t="s">
        <v>38</v>
      </c>
      <c r="D122" s="16">
        <v>12</v>
      </c>
      <c r="E122" s="50" t="s">
        <v>20</v>
      </c>
      <c r="F122" s="46">
        <v>3</v>
      </c>
      <c r="G122" s="46">
        <v>0</v>
      </c>
      <c r="H122" s="47">
        <f t="shared" si="3"/>
        <v>0</v>
      </c>
      <c r="I122" s="46">
        <v>0</v>
      </c>
      <c r="J122" s="46">
        <v>0</v>
      </c>
      <c r="K122" s="46">
        <v>0</v>
      </c>
      <c r="L122" s="46">
        <v>0</v>
      </c>
      <c r="M122" s="46">
        <v>0</v>
      </c>
      <c r="N122" s="46">
        <v>0</v>
      </c>
      <c r="O122" s="46">
        <v>0</v>
      </c>
      <c r="P122" s="46">
        <v>0</v>
      </c>
    </row>
    <row r="123" spans="1:17" x14ac:dyDescent="0.2">
      <c r="A123" s="42">
        <v>42276</v>
      </c>
      <c r="B123" s="1">
        <v>1</v>
      </c>
      <c r="C123" s="33" t="s">
        <v>124</v>
      </c>
      <c r="D123" s="16">
        <v>13</v>
      </c>
      <c r="E123" s="50" t="s">
        <v>21</v>
      </c>
      <c r="F123" s="16">
        <v>3</v>
      </c>
      <c r="G123" s="16">
        <v>1</v>
      </c>
      <c r="H123" s="39">
        <f t="shared" si="3"/>
        <v>0.33333333333333331</v>
      </c>
      <c r="I123" s="46">
        <v>0</v>
      </c>
      <c r="J123" s="46">
        <v>1</v>
      </c>
      <c r="K123" s="46">
        <v>0</v>
      </c>
      <c r="L123" s="46">
        <v>1</v>
      </c>
      <c r="M123" s="46">
        <v>0</v>
      </c>
      <c r="N123" s="46">
        <v>0</v>
      </c>
      <c r="O123" s="46">
        <v>0</v>
      </c>
      <c r="P123" s="46">
        <v>0</v>
      </c>
    </row>
    <row r="124" spans="1:17" x14ac:dyDescent="0.2">
      <c r="A124" s="42">
        <v>42276</v>
      </c>
      <c r="B124" s="1">
        <v>1</v>
      </c>
      <c r="C124" s="33" t="s">
        <v>123</v>
      </c>
      <c r="D124" s="16">
        <v>14</v>
      </c>
      <c r="E124" s="50" t="s">
        <v>22</v>
      </c>
      <c r="F124" s="16">
        <v>3</v>
      </c>
      <c r="G124" s="16">
        <v>2</v>
      </c>
      <c r="H124" s="39">
        <f t="shared" si="3"/>
        <v>0.66666666666666663</v>
      </c>
      <c r="I124" s="46">
        <v>0</v>
      </c>
      <c r="J124" s="46">
        <v>0</v>
      </c>
      <c r="K124" s="46">
        <v>0</v>
      </c>
      <c r="L124" s="46">
        <v>0</v>
      </c>
      <c r="M124" s="46">
        <v>0</v>
      </c>
      <c r="N124" s="46">
        <v>0</v>
      </c>
      <c r="O124" s="46">
        <v>0</v>
      </c>
      <c r="P124" s="46">
        <v>0</v>
      </c>
    </row>
    <row r="125" spans="1:17" x14ac:dyDescent="0.2">
      <c r="A125" s="42">
        <v>42279</v>
      </c>
      <c r="B125" s="40">
        <v>1</v>
      </c>
      <c r="C125" s="33" t="s">
        <v>40</v>
      </c>
      <c r="D125" s="16">
        <v>15</v>
      </c>
      <c r="E125" s="50" t="s">
        <v>125</v>
      </c>
      <c r="F125" s="16">
        <v>6</v>
      </c>
      <c r="G125" s="16">
        <v>1</v>
      </c>
      <c r="H125" s="39">
        <f t="shared" si="3"/>
        <v>0.16666666666666666</v>
      </c>
      <c r="I125" s="46">
        <v>0</v>
      </c>
      <c r="J125" s="46">
        <v>0</v>
      </c>
      <c r="K125" s="46">
        <v>0</v>
      </c>
      <c r="L125" s="46">
        <v>0</v>
      </c>
      <c r="M125" s="46">
        <v>0</v>
      </c>
      <c r="N125" s="46">
        <v>0</v>
      </c>
      <c r="O125" s="46">
        <v>0</v>
      </c>
      <c r="P125" s="46">
        <v>0</v>
      </c>
    </row>
    <row r="126" spans="1:17" x14ac:dyDescent="0.2">
      <c r="A126" s="42">
        <v>42282</v>
      </c>
      <c r="B126" s="40">
        <v>1</v>
      </c>
      <c r="C126" s="16" t="s">
        <v>129</v>
      </c>
      <c r="D126" s="16">
        <v>16</v>
      </c>
      <c r="E126" s="50" t="s">
        <v>128</v>
      </c>
      <c r="F126" s="1">
        <v>6</v>
      </c>
      <c r="G126" s="16">
        <v>0</v>
      </c>
      <c r="H126" s="39">
        <f t="shared" si="3"/>
        <v>0</v>
      </c>
      <c r="I126" s="46">
        <v>0</v>
      </c>
      <c r="J126" s="46">
        <v>0</v>
      </c>
      <c r="K126" s="46">
        <v>0</v>
      </c>
      <c r="L126" s="46">
        <v>0</v>
      </c>
      <c r="M126" s="46">
        <v>0</v>
      </c>
      <c r="N126" s="46">
        <v>0</v>
      </c>
      <c r="O126" s="46">
        <v>0</v>
      </c>
      <c r="P126" s="46">
        <v>0</v>
      </c>
    </row>
    <row r="127" spans="1:17" x14ac:dyDescent="0.2">
      <c r="A127" s="42">
        <v>42285</v>
      </c>
      <c r="B127" s="40">
        <v>1</v>
      </c>
      <c r="C127" s="16" t="s">
        <v>131</v>
      </c>
      <c r="D127" s="16">
        <v>17</v>
      </c>
      <c r="E127" s="50" t="s">
        <v>130</v>
      </c>
      <c r="F127" s="1">
        <v>2</v>
      </c>
      <c r="G127" s="16">
        <v>1</v>
      </c>
      <c r="H127" s="39">
        <f t="shared" si="3"/>
        <v>0.5</v>
      </c>
      <c r="I127" s="46">
        <v>0</v>
      </c>
      <c r="J127" s="46">
        <v>0</v>
      </c>
      <c r="K127" s="46">
        <v>0</v>
      </c>
      <c r="L127" s="46">
        <v>0</v>
      </c>
      <c r="M127" s="46">
        <v>0</v>
      </c>
      <c r="N127" s="46">
        <v>0</v>
      </c>
      <c r="O127" s="46">
        <v>0</v>
      </c>
      <c r="P127" s="46">
        <v>0</v>
      </c>
    </row>
    <row r="128" spans="1:17" x14ac:dyDescent="0.2">
      <c r="A128" s="42">
        <v>42285</v>
      </c>
      <c r="B128" s="40">
        <v>1</v>
      </c>
      <c r="C128" s="16" t="s">
        <v>133</v>
      </c>
      <c r="D128" s="16">
        <v>18</v>
      </c>
      <c r="E128" s="50" t="s">
        <v>132</v>
      </c>
      <c r="F128" s="1">
        <v>3</v>
      </c>
      <c r="G128" s="16">
        <v>1</v>
      </c>
      <c r="H128" s="39">
        <f t="shared" si="3"/>
        <v>0.33333333333333331</v>
      </c>
      <c r="I128" s="46">
        <v>0</v>
      </c>
      <c r="J128" s="46">
        <v>0</v>
      </c>
      <c r="K128" s="46">
        <v>1</v>
      </c>
      <c r="L128" s="46">
        <v>0</v>
      </c>
      <c r="M128" s="46">
        <v>0</v>
      </c>
      <c r="N128" s="46">
        <v>1</v>
      </c>
      <c r="O128" s="46">
        <v>0</v>
      </c>
      <c r="P128" s="46">
        <v>0</v>
      </c>
    </row>
    <row r="129" spans="1:16" x14ac:dyDescent="0.2">
      <c r="A129" s="42">
        <v>42300</v>
      </c>
      <c r="B129" s="40">
        <v>1</v>
      </c>
      <c r="C129" s="16" t="s">
        <v>143</v>
      </c>
      <c r="D129" s="16">
        <v>19</v>
      </c>
      <c r="E129" s="50" t="s">
        <v>141</v>
      </c>
      <c r="F129" s="1">
        <v>4</v>
      </c>
      <c r="G129" s="16">
        <v>1</v>
      </c>
      <c r="H129" s="39">
        <f t="shared" si="3"/>
        <v>0.25</v>
      </c>
      <c r="I129" s="46">
        <v>0</v>
      </c>
      <c r="J129" s="46">
        <v>0</v>
      </c>
      <c r="K129" s="46">
        <v>0</v>
      </c>
      <c r="L129" s="46">
        <v>0</v>
      </c>
      <c r="M129" s="46">
        <v>0</v>
      </c>
      <c r="N129" s="46">
        <v>0</v>
      </c>
      <c r="O129" s="46">
        <v>0</v>
      </c>
      <c r="P129" s="46">
        <v>0</v>
      </c>
    </row>
    <row r="130" spans="1:16" x14ac:dyDescent="0.2">
      <c r="A130" s="42">
        <v>42306</v>
      </c>
      <c r="B130" s="40">
        <v>1</v>
      </c>
      <c r="C130" s="16" t="s">
        <v>144</v>
      </c>
      <c r="D130" s="16">
        <v>20</v>
      </c>
      <c r="E130" s="50" t="s">
        <v>142</v>
      </c>
      <c r="F130" s="1">
        <v>4</v>
      </c>
      <c r="G130" s="16">
        <v>0</v>
      </c>
      <c r="H130" s="39">
        <f t="shared" si="3"/>
        <v>0</v>
      </c>
      <c r="I130" s="46">
        <v>0</v>
      </c>
      <c r="J130" s="46">
        <v>0</v>
      </c>
      <c r="K130" s="46">
        <v>0</v>
      </c>
      <c r="L130" s="46">
        <v>0</v>
      </c>
      <c r="M130" s="46">
        <v>0</v>
      </c>
      <c r="N130" s="46">
        <v>0</v>
      </c>
      <c r="O130" s="46">
        <v>0</v>
      </c>
      <c r="P130" s="46">
        <v>0</v>
      </c>
    </row>
    <row r="131" spans="1:16" x14ac:dyDescent="0.2">
      <c r="A131" s="42">
        <v>42283</v>
      </c>
      <c r="B131" s="40">
        <v>1</v>
      </c>
      <c r="C131" s="16" t="s">
        <v>136</v>
      </c>
      <c r="D131" s="16">
        <v>21</v>
      </c>
      <c r="E131" s="50" t="s">
        <v>134</v>
      </c>
      <c r="F131" s="1">
        <v>3</v>
      </c>
      <c r="G131" s="16">
        <v>4</v>
      </c>
      <c r="H131" s="39">
        <f t="shared" si="3"/>
        <v>1.3333333333333333</v>
      </c>
      <c r="I131" s="46">
        <v>2</v>
      </c>
      <c r="J131" s="46">
        <v>0</v>
      </c>
      <c r="K131" s="46">
        <v>0</v>
      </c>
      <c r="L131" s="46">
        <v>0</v>
      </c>
      <c r="M131" s="46">
        <v>0</v>
      </c>
      <c r="N131" s="46">
        <v>0</v>
      </c>
      <c r="O131" s="46">
        <v>0</v>
      </c>
      <c r="P131" s="46">
        <v>0</v>
      </c>
    </row>
    <row r="132" spans="1:16" ht="13.5" thickBot="1" x14ac:dyDescent="0.25">
      <c r="A132" s="42">
        <v>42283</v>
      </c>
      <c r="B132" s="40">
        <v>1</v>
      </c>
      <c r="C132" s="16" t="s">
        <v>137</v>
      </c>
      <c r="D132" s="16">
        <v>22</v>
      </c>
      <c r="E132" s="50" t="s">
        <v>135</v>
      </c>
      <c r="F132" s="36">
        <v>4</v>
      </c>
      <c r="G132" s="46">
        <v>0</v>
      </c>
      <c r="H132" s="47">
        <f t="shared" si="3"/>
        <v>0</v>
      </c>
      <c r="I132" s="46">
        <v>0</v>
      </c>
      <c r="J132" s="46">
        <v>0</v>
      </c>
      <c r="K132" s="46">
        <v>0</v>
      </c>
      <c r="L132" s="46">
        <v>0</v>
      </c>
      <c r="M132" s="46">
        <v>0</v>
      </c>
      <c r="N132" s="46">
        <v>0</v>
      </c>
      <c r="O132" s="46">
        <v>0</v>
      </c>
      <c r="P132" s="46">
        <v>0</v>
      </c>
    </row>
    <row r="133" spans="1:16" x14ac:dyDescent="0.2">
      <c r="F133" s="48">
        <f>SUM(F4:F132)</f>
        <v>451</v>
      </c>
      <c r="G133" s="48">
        <f>SUM(G4:G132)</f>
        <v>191</v>
      </c>
      <c r="H133" s="49">
        <f>G133/F133</f>
        <v>0.42350332594235035</v>
      </c>
      <c r="I133" s="48">
        <f t="shared" ref="I133:P133" si="4">SUM(I4:I132)</f>
        <v>474</v>
      </c>
      <c r="J133" s="48">
        <f t="shared" si="4"/>
        <v>127</v>
      </c>
      <c r="K133" s="48">
        <f t="shared" si="4"/>
        <v>62</v>
      </c>
      <c r="L133" s="48">
        <f t="shared" si="4"/>
        <v>53</v>
      </c>
      <c r="M133" s="48">
        <f t="shared" si="4"/>
        <v>73</v>
      </c>
      <c r="N133" s="48">
        <f t="shared" si="4"/>
        <v>29</v>
      </c>
      <c r="O133" s="48">
        <f t="shared" si="4"/>
        <v>33</v>
      </c>
      <c r="P133" s="48">
        <f t="shared" si="4"/>
        <v>10</v>
      </c>
    </row>
  </sheetData>
  <pageMargins left="0.7" right="0.7" top="0.75" bottom="0.75" header="0.3" footer="0.3"/>
  <pageSetup scale="68" fitToHeight="0" orientation="landscape" r:id="rId1"/>
  <ignoredErrors>
    <ignoredError sqref="H133" formula="1" formulaRange="1"/>
  </ignoredError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105"/>
  <sheetViews>
    <sheetView topLeftCell="C1" workbookViewId="0">
      <pane ySplit="3" topLeftCell="A59" activePane="bottomLeft" state="frozen"/>
      <selection pane="bottomLeft" activeCell="G90" sqref="G90:G94"/>
    </sheetView>
  </sheetViews>
  <sheetFormatPr defaultRowHeight="12.75" x14ac:dyDescent="0.2"/>
  <cols>
    <col min="1" max="1" width="10.85546875" customWidth="1"/>
    <col min="2" max="2" width="11.42578125" customWidth="1"/>
    <col min="5" max="5" width="38.7109375" customWidth="1"/>
    <col min="16" max="16" width="17.140625" customWidth="1"/>
  </cols>
  <sheetData>
    <row r="1" spans="1:16" x14ac:dyDescent="0.2">
      <c r="A1" s="2"/>
      <c r="B1" s="2"/>
      <c r="C1" s="2"/>
      <c r="D1" s="2"/>
      <c r="E1" s="2"/>
      <c r="F1" s="2" t="s">
        <v>4</v>
      </c>
      <c r="G1" s="2" t="s">
        <v>140</v>
      </c>
      <c r="H1" s="2" t="s">
        <v>3</v>
      </c>
      <c r="I1" s="3" t="s">
        <v>24</v>
      </c>
      <c r="J1" s="3"/>
      <c r="K1" s="3"/>
    </row>
    <row r="2" spans="1:16" x14ac:dyDescent="0.2">
      <c r="A2" s="2" t="s">
        <v>0</v>
      </c>
      <c r="B2" s="2" t="s">
        <v>1</v>
      </c>
      <c r="C2" s="2" t="s">
        <v>108</v>
      </c>
      <c r="D2" s="2" t="s">
        <v>113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  <c r="P2" s="21" t="s">
        <v>154</v>
      </c>
    </row>
    <row r="3" spans="1:16" ht="13.5" thickBot="1" x14ac:dyDescent="0.25">
      <c r="A3" s="1"/>
      <c r="D3" s="2" t="s">
        <v>114</v>
      </c>
      <c r="I3" s="1"/>
      <c r="J3" s="4" t="s">
        <v>6</v>
      </c>
      <c r="K3" s="4" t="s">
        <v>7</v>
      </c>
      <c r="L3" s="1" t="s">
        <v>109</v>
      </c>
      <c r="M3" s="21" t="s">
        <v>110</v>
      </c>
      <c r="N3" s="21" t="s">
        <v>111</v>
      </c>
      <c r="O3" s="21" t="s">
        <v>112</v>
      </c>
      <c r="P3" s="21" t="s">
        <v>155</v>
      </c>
    </row>
    <row r="4" spans="1:16" x14ac:dyDescent="0.2">
      <c r="A4" s="43">
        <v>41879</v>
      </c>
      <c r="B4" s="1">
        <v>1</v>
      </c>
      <c r="C4" s="33" t="s">
        <v>27</v>
      </c>
      <c r="D4" s="16">
        <v>1</v>
      </c>
      <c r="E4" s="16" t="s">
        <v>9</v>
      </c>
      <c r="F4" s="16">
        <v>6</v>
      </c>
      <c r="G4" s="16">
        <v>2</v>
      </c>
      <c r="H4" s="39">
        <f t="shared" ref="H4:H35" si="0">G4/F4</f>
        <v>0.33333333333333331</v>
      </c>
      <c r="I4" s="16">
        <v>3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</row>
    <row r="5" spans="1:16" x14ac:dyDescent="0.2">
      <c r="A5" s="43">
        <v>41885</v>
      </c>
      <c r="B5" s="1">
        <v>2</v>
      </c>
      <c r="C5" s="33" t="s">
        <v>27</v>
      </c>
      <c r="D5" s="16">
        <v>1</v>
      </c>
      <c r="E5" s="16" t="s">
        <v>9</v>
      </c>
      <c r="F5" s="16">
        <v>6</v>
      </c>
      <c r="G5" s="16">
        <v>4</v>
      </c>
      <c r="H5" s="39">
        <f t="shared" si="0"/>
        <v>0.66666666666666663</v>
      </c>
      <c r="I5" s="16">
        <v>1</v>
      </c>
      <c r="J5" s="16">
        <v>0</v>
      </c>
      <c r="K5" s="16">
        <v>3</v>
      </c>
      <c r="L5" s="16">
        <v>0</v>
      </c>
      <c r="M5" s="16">
        <v>0</v>
      </c>
      <c r="N5" s="16">
        <v>1</v>
      </c>
      <c r="O5" s="16">
        <v>2</v>
      </c>
      <c r="P5" s="16">
        <v>0</v>
      </c>
    </row>
    <row r="6" spans="1:16" x14ac:dyDescent="0.2">
      <c r="A6" s="43">
        <v>41892</v>
      </c>
      <c r="B6" s="1">
        <v>3</v>
      </c>
      <c r="C6" s="33" t="s">
        <v>27</v>
      </c>
      <c r="D6" s="16">
        <v>1</v>
      </c>
      <c r="E6" s="16" t="s">
        <v>9</v>
      </c>
      <c r="F6" s="16">
        <v>6</v>
      </c>
      <c r="G6" s="16">
        <v>2</v>
      </c>
      <c r="H6" s="39">
        <f t="shared" si="0"/>
        <v>0.33333333333333331</v>
      </c>
      <c r="I6" s="16">
        <v>4</v>
      </c>
      <c r="J6" s="16">
        <v>1</v>
      </c>
      <c r="K6" s="16">
        <v>1</v>
      </c>
      <c r="L6" s="16">
        <v>1</v>
      </c>
      <c r="M6" s="16">
        <v>0</v>
      </c>
      <c r="N6" s="16">
        <v>0</v>
      </c>
      <c r="O6" s="16">
        <v>1</v>
      </c>
      <c r="P6" s="16">
        <v>0</v>
      </c>
    </row>
    <row r="7" spans="1:16" x14ac:dyDescent="0.2">
      <c r="A7" s="43">
        <v>41900</v>
      </c>
      <c r="B7" s="1">
        <v>4</v>
      </c>
      <c r="C7" s="33" t="s">
        <v>27</v>
      </c>
      <c r="D7" s="16">
        <v>1</v>
      </c>
      <c r="E7" s="16" t="s">
        <v>9</v>
      </c>
      <c r="F7" s="16">
        <v>6</v>
      </c>
      <c r="G7" s="16">
        <v>2</v>
      </c>
      <c r="H7" s="39">
        <f t="shared" si="0"/>
        <v>0.33333333333333331</v>
      </c>
      <c r="I7" s="16">
        <v>2</v>
      </c>
      <c r="J7" s="16">
        <v>0</v>
      </c>
      <c r="K7" s="16">
        <v>1</v>
      </c>
      <c r="L7" s="16">
        <v>0</v>
      </c>
      <c r="M7" s="16">
        <v>0</v>
      </c>
      <c r="N7" s="16">
        <v>0</v>
      </c>
      <c r="O7" s="16">
        <v>1</v>
      </c>
      <c r="P7" s="16">
        <v>0</v>
      </c>
    </row>
    <row r="8" spans="1:16" x14ac:dyDescent="0.2">
      <c r="A8" s="43">
        <v>41845</v>
      </c>
      <c r="B8" s="1" t="s">
        <v>127</v>
      </c>
      <c r="C8" s="33" t="s">
        <v>28</v>
      </c>
      <c r="D8" s="16">
        <v>2</v>
      </c>
      <c r="E8" s="16" t="s">
        <v>10</v>
      </c>
      <c r="F8" s="16">
        <v>3</v>
      </c>
      <c r="G8" s="16">
        <v>0</v>
      </c>
      <c r="H8" s="39">
        <f t="shared" si="0"/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</row>
    <row r="9" spans="1:16" x14ac:dyDescent="0.2">
      <c r="A9" s="43">
        <v>41878</v>
      </c>
      <c r="B9" s="1">
        <v>1</v>
      </c>
      <c r="C9" s="33" t="s">
        <v>28</v>
      </c>
      <c r="D9" s="16">
        <v>2</v>
      </c>
      <c r="E9" s="16" t="s">
        <v>10</v>
      </c>
      <c r="F9" s="16">
        <v>3</v>
      </c>
      <c r="G9" s="16">
        <v>7</v>
      </c>
      <c r="H9" s="39">
        <f t="shared" si="0"/>
        <v>2.3333333333333335</v>
      </c>
      <c r="I9" s="16">
        <v>11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</row>
    <row r="10" spans="1:16" x14ac:dyDescent="0.2">
      <c r="A10" s="43">
        <v>41885</v>
      </c>
      <c r="B10" s="1">
        <v>2</v>
      </c>
      <c r="C10" s="33" t="s">
        <v>28</v>
      </c>
      <c r="D10" s="16">
        <v>2</v>
      </c>
      <c r="E10" s="16" t="s">
        <v>10</v>
      </c>
      <c r="F10" s="16">
        <v>3</v>
      </c>
      <c r="G10" s="16">
        <v>5</v>
      </c>
      <c r="H10" s="39">
        <f t="shared" si="0"/>
        <v>1.6666666666666667</v>
      </c>
      <c r="I10" s="16">
        <v>14</v>
      </c>
      <c r="J10" s="16">
        <v>0</v>
      </c>
      <c r="K10" s="16">
        <v>3</v>
      </c>
      <c r="L10" s="16">
        <v>0</v>
      </c>
      <c r="M10" s="16">
        <v>0</v>
      </c>
      <c r="N10" s="16">
        <v>2</v>
      </c>
      <c r="O10" s="16">
        <v>1</v>
      </c>
      <c r="P10" s="16">
        <v>0</v>
      </c>
    </row>
    <row r="11" spans="1:16" x14ac:dyDescent="0.2">
      <c r="A11" s="43">
        <v>41892</v>
      </c>
      <c r="B11" s="1">
        <v>3</v>
      </c>
      <c r="C11" s="33" t="s">
        <v>28</v>
      </c>
      <c r="D11" s="16">
        <v>2</v>
      </c>
      <c r="E11" s="16" t="s">
        <v>10</v>
      </c>
      <c r="F11" s="16">
        <v>3</v>
      </c>
      <c r="G11" s="16">
        <v>4</v>
      </c>
      <c r="H11" s="39">
        <f t="shared" si="0"/>
        <v>1.3333333333333333</v>
      </c>
      <c r="I11" s="16">
        <v>3</v>
      </c>
      <c r="J11" s="16">
        <v>0</v>
      </c>
      <c r="K11" s="16">
        <v>6</v>
      </c>
      <c r="L11" s="16">
        <v>0</v>
      </c>
      <c r="M11" s="16">
        <v>0</v>
      </c>
      <c r="N11" s="16">
        <v>1</v>
      </c>
      <c r="O11" s="16">
        <v>5</v>
      </c>
      <c r="P11" s="16">
        <v>0</v>
      </c>
    </row>
    <row r="12" spans="1:16" x14ac:dyDescent="0.2">
      <c r="A12" s="43">
        <v>41899</v>
      </c>
      <c r="B12" s="1">
        <v>4</v>
      </c>
      <c r="C12" s="33" t="s">
        <v>28</v>
      </c>
      <c r="D12" s="16">
        <v>2</v>
      </c>
      <c r="E12" s="16" t="s">
        <v>10</v>
      </c>
      <c r="F12" s="16">
        <v>3</v>
      </c>
      <c r="G12" s="16">
        <v>0</v>
      </c>
      <c r="H12" s="39">
        <f t="shared" si="0"/>
        <v>0</v>
      </c>
      <c r="I12" s="16">
        <v>0</v>
      </c>
      <c r="J12" s="16">
        <v>0</v>
      </c>
      <c r="K12" s="16">
        <v>1</v>
      </c>
      <c r="L12" s="16">
        <v>0</v>
      </c>
      <c r="M12" s="16">
        <v>0</v>
      </c>
      <c r="N12" s="16">
        <v>0</v>
      </c>
      <c r="O12" s="16">
        <v>1</v>
      </c>
      <c r="P12" s="16">
        <v>0</v>
      </c>
    </row>
    <row r="13" spans="1:16" x14ac:dyDescent="0.2">
      <c r="A13" s="43">
        <v>41845</v>
      </c>
      <c r="B13" s="1" t="s">
        <v>127</v>
      </c>
      <c r="C13" s="33" t="s">
        <v>29</v>
      </c>
      <c r="D13" s="16">
        <v>3</v>
      </c>
      <c r="E13" s="16" t="s">
        <v>11</v>
      </c>
      <c r="F13" s="16">
        <v>2</v>
      </c>
      <c r="G13" s="16">
        <v>0</v>
      </c>
      <c r="H13" s="39">
        <f t="shared" si="0"/>
        <v>0</v>
      </c>
      <c r="I13" s="16">
        <v>1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</row>
    <row r="14" spans="1:16" x14ac:dyDescent="0.2">
      <c r="A14" s="43">
        <v>41878</v>
      </c>
      <c r="B14" s="1">
        <v>1</v>
      </c>
      <c r="C14" s="33" t="s">
        <v>29</v>
      </c>
      <c r="D14" s="16">
        <v>3</v>
      </c>
      <c r="E14" s="16" t="s">
        <v>11</v>
      </c>
      <c r="F14" s="16">
        <v>2</v>
      </c>
      <c r="G14" s="16">
        <v>2</v>
      </c>
      <c r="H14" s="39">
        <f t="shared" si="0"/>
        <v>1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</row>
    <row r="15" spans="1:16" x14ac:dyDescent="0.2">
      <c r="A15" s="43">
        <v>41885</v>
      </c>
      <c r="B15" s="1">
        <v>2</v>
      </c>
      <c r="C15" s="33" t="s">
        <v>29</v>
      </c>
      <c r="D15" s="16">
        <v>3</v>
      </c>
      <c r="E15" s="16" t="s">
        <v>11</v>
      </c>
      <c r="F15" s="16">
        <v>2</v>
      </c>
      <c r="G15" s="16">
        <v>6</v>
      </c>
      <c r="H15" s="39">
        <f t="shared" si="0"/>
        <v>3</v>
      </c>
      <c r="I15" s="16">
        <v>10</v>
      </c>
      <c r="J15" s="16">
        <v>0</v>
      </c>
      <c r="K15" s="16">
        <v>1</v>
      </c>
      <c r="L15" s="16">
        <v>0</v>
      </c>
      <c r="M15" s="16">
        <v>0</v>
      </c>
      <c r="N15" s="16">
        <v>1</v>
      </c>
      <c r="O15" s="16">
        <v>0</v>
      </c>
      <c r="P15" s="16">
        <v>0</v>
      </c>
    </row>
    <row r="16" spans="1:16" x14ac:dyDescent="0.2">
      <c r="A16" s="43">
        <v>41893</v>
      </c>
      <c r="B16" s="1">
        <v>3</v>
      </c>
      <c r="C16" s="33" t="s">
        <v>29</v>
      </c>
      <c r="D16" s="16">
        <v>3</v>
      </c>
      <c r="E16" s="16" t="s">
        <v>11</v>
      </c>
      <c r="F16" s="16">
        <v>2</v>
      </c>
      <c r="G16" s="16">
        <v>4</v>
      </c>
      <c r="H16" s="39">
        <f t="shared" si="0"/>
        <v>2</v>
      </c>
      <c r="I16" s="16">
        <v>7</v>
      </c>
      <c r="J16" s="16">
        <v>0</v>
      </c>
      <c r="K16" s="16">
        <v>2</v>
      </c>
      <c r="L16" s="16">
        <v>0</v>
      </c>
      <c r="M16" s="16">
        <v>0</v>
      </c>
      <c r="N16" s="16">
        <v>0</v>
      </c>
      <c r="O16" s="16">
        <v>2</v>
      </c>
      <c r="P16" s="16">
        <v>0</v>
      </c>
    </row>
    <row r="17" spans="1:16" x14ac:dyDescent="0.2">
      <c r="A17" s="43">
        <v>41901</v>
      </c>
      <c r="B17" s="1">
        <v>4</v>
      </c>
      <c r="C17" s="33" t="s">
        <v>29</v>
      </c>
      <c r="D17" s="16">
        <v>3</v>
      </c>
      <c r="E17" s="16" t="s">
        <v>11</v>
      </c>
      <c r="F17" s="16">
        <v>2</v>
      </c>
      <c r="G17" s="16">
        <v>0</v>
      </c>
      <c r="H17" s="39">
        <f t="shared" si="0"/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</row>
    <row r="18" spans="1:16" x14ac:dyDescent="0.2">
      <c r="A18" s="43">
        <v>41845</v>
      </c>
      <c r="B18" s="1" t="s">
        <v>127</v>
      </c>
      <c r="C18" s="33" t="s">
        <v>30</v>
      </c>
      <c r="D18" s="16">
        <v>4</v>
      </c>
      <c r="E18" s="16" t="s">
        <v>12</v>
      </c>
      <c r="F18" s="16">
        <v>5</v>
      </c>
      <c r="G18" s="16">
        <v>0</v>
      </c>
      <c r="H18" s="39">
        <f t="shared" si="0"/>
        <v>0</v>
      </c>
      <c r="I18" s="16">
        <v>1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</row>
    <row r="19" spans="1:16" x14ac:dyDescent="0.2">
      <c r="A19" s="43">
        <v>41878</v>
      </c>
      <c r="B19" s="1">
        <v>1</v>
      </c>
      <c r="C19" s="33" t="s">
        <v>30</v>
      </c>
      <c r="D19" s="16">
        <v>4</v>
      </c>
      <c r="E19" s="16" t="s">
        <v>12</v>
      </c>
      <c r="F19" s="16">
        <v>5</v>
      </c>
      <c r="G19" s="16">
        <v>0</v>
      </c>
      <c r="H19" s="39">
        <f t="shared" si="0"/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</row>
    <row r="20" spans="1:16" x14ac:dyDescent="0.2">
      <c r="A20" s="43">
        <v>41885</v>
      </c>
      <c r="B20" s="1">
        <v>2</v>
      </c>
      <c r="C20" s="33" t="s">
        <v>30</v>
      </c>
      <c r="D20" s="16">
        <v>4</v>
      </c>
      <c r="E20" s="16" t="s">
        <v>12</v>
      </c>
      <c r="F20" s="16">
        <v>5</v>
      </c>
      <c r="G20" s="16">
        <v>8</v>
      </c>
      <c r="H20" s="39">
        <f t="shared" si="0"/>
        <v>1.6</v>
      </c>
      <c r="I20" s="16">
        <v>6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</row>
    <row r="21" spans="1:16" x14ac:dyDescent="0.2">
      <c r="A21" s="43">
        <v>41893</v>
      </c>
      <c r="B21" s="1">
        <v>3</v>
      </c>
      <c r="C21" s="33" t="s">
        <v>30</v>
      </c>
      <c r="D21" s="16">
        <v>4</v>
      </c>
      <c r="E21" s="16" t="s">
        <v>12</v>
      </c>
      <c r="F21" s="16">
        <v>5</v>
      </c>
      <c r="G21" s="16">
        <v>8</v>
      </c>
      <c r="H21" s="39">
        <f t="shared" si="0"/>
        <v>1.6</v>
      </c>
      <c r="I21" s="16">
        <v>3</v>
      </c>
      <c r="J21" s="16">
        <v>0</v>
      </c>
      <c r="K21" s="16">
        <v>4</v>
      </c>
      <c r="L21" s="16">
        <v>0</v>
      </c>
      <c r="M21" s="16">
        <v>0</v>
      </c>
      <c r="N21" s="16">
        <v>0</v>
      </c>
      <c r="O21" s="16">
        <v>3</v>
      </c>
      <c r="P21" s="33">
        <v>1</v>
      </c>
    </row>
    <row r="22" spans="1:16" x14ac:dyDescent="0.2">
      <c r="A22" s="43">
        <v>41901</v>
      </c>
      <c r="B22" s="1">
        <v>4</v>
      </c>
      <c r="C22" s="33" t="s">
        <v>30</v>
      </c>
      <c r="D22" s="16">
        <v>4</v>
      </c>
      <c r="E22" s="16" t="s">
        <v>12</v>
      </c>
      <c r="F22" s="16">
        <v>5</v>
      </c>
      <c r="G22" s="16">
        <v>2</v>
      </c>
      <c r="H22" s="39">
        <f t="shared" si="0"/>
        <v>0.4</v>
      </c>
      <c r="I22" s="16">
        <v>0</v>
      </c>
      <c r="J22" s="16">
        <v>0</v>
      </c>
      <c r="K22" s="16">
        <v>5</v>
      </c>
      <c r="L22" s="16">
        <v>0</v>
      </c>
      <c r="M22" s="16">
        <v>0</v>
      </c>
      <c r="N22" s="16">
        <v>4</v>
      </c>
      <c r="O22" s="16">
        <v>1</v>
      </c>
      <c r="P22" s="16">
        <v>0</v>
      </c>
    </row>
    <row r="23" spans="1:16" x14ac:dyDescent="0.2">
      <c r="A23" s="43">
        <v>41803</v>
      </c>
      <c r="B23" s="1" t="s">
        <v>127</v>
      </c>
      <c r="C23" s="33" t="s">
        <v>31</v>
      </c>
      <c r="D23" s="16">
        <v>5</v>
      </c>
      <c r="E23" s="16" t="s">
        <v>13</v>
      </c>
      <c r="F23" s="16">
        <v>2</v>
      </c>
      <c r="G23" s="16">
        <v>0</v>
      </c>
      <c r="H23" s="39">
        <f t="shared" si="0"/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</row>
    <row r="24" spans="1:16" x14ac:dyDescent="0.2">
      <c r="A24" s="43">
        <v>41836</v>
      </c>
      <c r="B24" s="1" t="s">
        <v>127</v>
      </c>
      <c r="C24" s="33" t="s">
        <v>31</v>
      </c>
      <c r="D24" s="16">
        <v>5</v>
      </c>
      <c r="E24" s="16" t="s">
        <v>13</v>
      </c>
      <c r="F24" s="16">
        <v>2</v>
      </c>
      <c r="G24" s="16">
        <v>0</v>
      </c>
      <c r="H24" s="39">
        <f t="shared" si="0"/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</row>
    <row r="25" spans="1:16" x14ac:dyDescent="0.2">
      <c r="A25" s="43">
        <v>41845</v>
      </c>
      <c r="B25" s="1" t="s">
        <v>127</v>
      </c>
      <c r="C25" s="33" t="s">
        <v>31</v>
      </c>
      <c r="D25" s="16">
        <v>5</v>
      </c>
      <c r="E25" s="16" t="s">
        <v>13</v>
      </c>
      <c r="F25" s="16">
        <v>2</v>
      </c>
      <c r="G25" s="16">
        <v>0</v>
      </c>
      <c r="H25" s="39">
        <f t="shared" si="0"/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</row>
    <row r="26" spans="1:16" x14ac:dyDescent="0.2">
      <c r="A26" s="43">
        <v>41851</v>
      </c>
      <c r="B26" s="1" t="s">
        <v>127</v>
      </c>
      <c r="C26" s="33" t="s">
        <v>31</v>
      </c>
      <c r="D26" s="16">
        <v>5</v>
      </c>
      <c r="E26" s="16" t="s">
        <v>13</v>
      </c>
      <c r="F26" s="16">
        <v>2</v>
      </c>
      <c r="G26" s="16">
        <v>0</v>
      </c>
      <c r="H26" s="39">
        <f t="shared" si="0"/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</row>
    <row r="27" spans="1:16" x14ac:dyDescent="0.2">
      <c r="A27" s="43">
        <v>41859</v>
      </c>
      <c r="B27" s="1" t="s">
        <v>127</v>
      </c>
      <c r="C27" s="33" t="s">
        <v>31</v>
      </c>
      <c r="D27" s="16">
        <v>5</v>
      </c>
      <c r="E27" s="16" t="s">
        <v>13</v>
      </c>
      <c r="F27" s="16">
        <v>2</v>
      </c>
      <c r="G27" s="16">
        <v>0</v>
      </c>
      <c r="H27" s="39">
        <f t="shared" si="0"/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</row>
    <row r="28" spans="1:16" x14ac:dyDescent="0.2">
      <c r="A28" s="43">
        <v>41872</v>
      </c>
      <c r="B28" s="1" t="s">
        <v>127</v>
      </c>
      <c r="C28" s="33" t="s">
        <v>31</v>
      </c>
      <c r="D28" s="16">
        <v>5</v>
      </c>
      <c r="E28" s="16" t="s">
        <v>13</v>
      </c>
      <c r="F28" s="16">
        <v>2</v>
      </c>
      <c r="G28" s="16">
        <v>0</v>
      </c>
      <c r="H28" s="39">
        <f t="shared" si="0"/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</row>
    <row r="29" spans="1:16" x14ac:dyDescent="0.2">
      <c r="A29" s="43">
        <v>41879</v>
      </c>
      <c r="B29" s="1">
        <v>1</v>
      </c>
      <c r="C29" s="33" t="s">
        <v>31</v>
      </c>
      <c r="D29" s="16">
        <v>5</v>
      </c>
      <c r="E29" s="16" t="s">
        <v>13</v>
      </c>
      <c r="F29" s="16">
        <v>2</v>
      </c>
      <c r="G29" s="16">
        <v>0</v>
      </c>
      <c r="H29" s="39">
        <f t="shared" si="0"/>
        <v>0</v>
      </c>
      <c r="I29" s="16">
        <v>2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</row>
    <row r="30" spans="1:16" x14ac:dyDescent="0.2">
      <c r="A30" s="43">
        <v>41886</v>
      </c>
      <c r="B30" s="1">
        <v>2</v>
      </c>
      <c r="C30" s="33" t="s">
        <v>31</v>
      </c>
      <c r="D30" s="16">
        <v>5</v>
      </c>
      <c r="E30" s="16" t="s">
        <v>13</v>
      </c>
      <c r="F30" s="16">
        <v>2</v>
      </c>
      <c r="G30" s="16">
        <v>2</v>
      </c>
      <c r="H30" s="39">
        <f t="shared" si="0"/>
        <v>1</v>
      </c>
      <c r="I30" s="16">
        <v>0</v>
      </c>
      <c r="J30" s="16">
        <v>0</v>
      </c>
      <c r="K30" s="16">
        <v>1</v>
      </c>
      <c r="L30" s="16">
        <v>0</v>
      </c>
      <c r="M30" s="16">
        <v>0</v>
      </c>
      <c r="N30" s="16">
        <v>0</v>
      </c>
      <c r="O30" s="16">
        <v>1</v>
      </c>
      <c r="P30" s="16">
        <v>0</v>
      </c>
    </row>
    <row r="31" spans="1:16" x14ac:dyDescent="0.2">
      <c r="A31" s="43">
        <v>41890</v>
      </c>
      <c r="B31" s="1">
        <v>3</v>
      </c>
      <c r="C31" s="33" t="s">
        <v>31</v>
      </c>
      <c r="D31" s="16">
        <v>5</v>
      </c>
      <c r="E31" s="16" t="s">
        <v>13</v>
      </c>
      <c r="F31" s="16">
        <v>2</v>
      </c>
      <c r="G31" s="16">
        <v>9</v>
      </c>
      <c r="H31" s="39">
        <f t="shared" si="0"/>
        <v>4.5</v>
      </c>
      <c r="I31" s="16">
        <v>13</v>
      </c>
      <c r="J31" s="16">
        <v>1</v>
      </c>
      <c r="K31" s="16">
        <v>4</v>
      </c>
      <c r="L31" s="16">
        <v>1</v>
      </c>
      <c r="M31" s="16">
        <v>0</v>
      </c>
      <c r="N31" s="16">
        <v>3</v>
      </c>
      <c r="O31" s="16">
        <v>1</v>
      </c>
      <c r="P31" s="16">
        <v>0</v>
      </c>
    </row>
    <row r="32" spans="1:16" x14ac:dyDescent="0.2">
      <c r="A32" s="43">
        <v>41898</v>
      </c>
      <c r="B32" s="1">
        <v>4</v>
      </c>
      <c r="C32" s="33" t="s">
        <v>31</v>
      </c>
      <c r="D32" s="16">
        <v>5</v>
      </c>
      <c r="E32" s="16" t="s">
        <v>13</v>
      </c>
      <c r="F32" s="16">
        <v>2</v>
      </c>
      <c r="G32" s="16">
        <v>0</v>
      </c>
      <c r="H32" s="39">
        <f t="shared" si="0"/>
        <v>0</v>
      </c>
      <c r="I32" s="16">
        <v>5</v>
      </c>
      <c r="J32" s="16">
        <v>1</v>
      </c>
      <c r="K32" s="16">
        <v>5</v>
      </c>
      <c r="L32" s="16">
        <v>1</v>
      </c>
      <c r="M32" s="16">
        <v>0</v>
      </c>
      <c r="N32" s="16">
        <v>2</v>
      </c>
      <c r="O32" s="16">
        <v>3</v>
      </c>
      <c r="P32" s="16">
        <v>0</v>
      </c>
    </row>
    <row r="33" spans="1:16" x14ac:dyDescent="0.2">
      <c r="A33" s="43">
        <v>41906</v>
      </c>
      <c r="B33" s="1">
        <v>5</v>
      </c>
      <c r="C33" s="33" t="s">
        <v>31</v>
      </c>
      <c r="D33" s="16">
        <v>5</v>
      </c>
      <c r="E33" s="16" t="s">
        <v>13</v>
      </c>
      <c r="F33" s="16">
        <v>2</v>
      </c>
      <c r="G33" s="16">
        <v>0</v>
      </c>
      <c r="H33" s="39">
        <f t="shared" si="0"/>
        <v>0</v>
      </c>
      <c r="I33" s="16">
        <v>1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</row>
    <row r="34" spans="1:16" x14ac:dyDescent="0.2">
      <c r="A34" s="43">
        <v>41803</v>
      </c>
      <c r="B34" s="1" t="s">
        <v>127</v>
      </c>
      <c r="C34" s="33" t="s">
        <v>32</v>
      </c>
      <c r="D34" s="16">
        <v>6</v>
      </c>
      <c r="E34" s="16" t="s">
        <v>14</v>
      </c>
      <c r="F34" s="16">
        <v>4</v>
      </c>
      <c r="G34" s="16">
        <v>0</v>
      </c>
      <c r="H34" s="39">
        <f t="shared" si="0"/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</row>
    <row r="35" spans="1:16" x14ac:dyDescent="0.2">
      <c r="A35" s="43">
        <v>41836</v>
      </c>
      <c r="B35" s="1" t="s">
        <v>127</v>
      </c>
      <c r="C35" s="33" t="s">
        <v>32</v>
      </c>
      <c r="D35" s="16">
        <v>6</v>
      </c>
      <c r="E35" s="16" t="s">
        <v>14</v>
      </c>
      <c r="F35" s="16">
        <v>4</v>
      </c>
      <c r="G35" s="16">
        <v>0</v>
      </c>
      <c r="H35" s="39">
        <f t="shared" si="0"/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</row>
    <row r="36" spans="1:16" x14ac:dyDescent="0.2">
      <c r="A36" s="43">
        <v>41845</v>
      </c>
      <c r="B36" s="1" t="s">
        <v>127</v>
      </c>
      <c r="C36" s="33" t="s">
        <v>32</v>
      </c>
      <c r="D36" s="16">
        <v>6</v>
      </c>
      <c r="E36" s="16" t="s">
        <v>14</v>
      </c>
      <c r="F36" s="16">
        <v>4</v>
      </c>
      <c r="G36" s="16">
        <v>0</v>
      </c>
      <c r="H36" s="39">
        <f t="shared" ref="H36:H67" si="1">G36/F36</f>
        <v>0</v>
      </c>
      <c r="I36" s="16">
        <v>1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</row>
    <row r="37" spans="1:16" x14ac:dyDescent="0.2">
      <c r="A37" s="43">
        <v>41851</v>
      </c>
      <c r="B37" s="1" t="s">
        <v>127</v>
      </c>
      <c r="C37" s="33" t="s">
        <v>32</v>
      </c>
      <c r="D37" s="16">
        <v>6</v>
      </c>
      <c r="E37" s="16" t="s">
        <v>14</v>
      </c>
      <c r="F37" s="16">
        <v>4</v>
      </c>
      <c r="G37" s="16">
        <v>0</v>
      </c>
      <c r="H37" s="39">
        <f t="shared" si="1"/>
        <v>0</v>
      </c>
      <c r="I37" s="16">
        <v>1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</row>
    <row r="38" spans="1:16" x14ac:dyDescent="0.2">
      <c r="A38" s="43">
        <v>41859</v>
      </c>
      <c r="B38" s="1" t="s">
        <v>127</v>
      </c>
      <c r="C38" s="33" t="s">
        <v>32</v>
      </c>
      <c r="D38" s="16">
        <v>6</v>
      </c>
      <c r="E38" s="16" t="s">
        <v>14</v>
      </c>
      <c r="F38" s="16">
        <v>4</v>
      </c>
      <c r="G38" s="16">
        <v>0</v>
      </c>
      <c r="H38" s="39">
        <f t="shared" si="1"/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</row>
    <row r="39" spans="1:16" x14ac:dyDescent="0.2">
      <c r="A39" s="43">
        <v>41872</v>
      </c>
      <c r="B39" s="1" t="s">
        <v>127</v>
      </c>
      <c r="C39" s="33" t="s">
        <v>32</v>
      </c>
      <c r="D39" s="16">
        <v>6</v>
      </c>
      <c r="E39" s="16" t="s">
        <v>14</v>
      </c>
      <c r="F39" s="16">
        <v>4</v>
      </c>
      <c r="G39" s="16">
        <v>0</v>
      </c>
      <c r="H39" s="39">
        <f t="shared" si="1"/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</row>
    <row r="40" spans="1:16" x14ac:dyDescent="0.2">
      <c r="A40" s="43">
        <v>41879</v>
      </c>
      <c r="B40" s="1">
        <v>1</v>
      </c>
      <c r="C40" s="33" t="s">
        <v>32</v>
      </c>
      <c r="D40" s="16">
        <v>6</v>
      </c>
      <c r="E40" s="16" t="s">
        <v>14</v>
      </c>
      <c r="F40" s="16">
        <v>4</v>
      </c>
      <c r="G40" s="16">
        <v>0</v>
      </c>
      <c r="H40" s="39">
        <f t="shared" si="1"/>
        <v>0</v>
      </c>
      <c r="I40" s="16">
        <v>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</row>
    <row r="41" spans="1:16" x14ac:dyDescent="0.2">
      <c r="A41" s="43">
        <v>41886</v>
      </c>
      <c r="B41" s="1">
        <v>2</v>
      </c>
      <c r="C41" s="33" t="s">
        <v>32</v>
      </c>
      <c r="D41" s="16">
        <v>6</v>
      </c>
      <c r="E41" s="16" t="s">
        <v>14</v>
      </c>
      <c r="F41" s="16">
        <v>4</v>
      </c>
      <c r="G41" s="16">
        <v>0</v>
      </c>
      <c r="H41" s="39">
        <f t="shared" si="1"/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</row>
    <row r="42" spans="1:16" x14ac:dyDescent="0.2">
      <c r="A42" s="43">
        <v>41890</v>
      </c>
      <c r="B42" s="1">
        <v>3</v>
      </c>
      <c r="C42" s="33" t="s">
        <v>32</v>
      </c>
      <c r="D42" s="16">
        <v>6</v>
      </c>
      <c r="E42" s="16" t="s">
        <v>14</v>
      </c>
      <c r="F42" s="16">
        <v>4</v>
      </c>
      <c r="G42" s="16">
        <v>1</v>
      </c>
      <c r="H42" s="39">
        <f t="shared" si="1"/>
        <v>0.25</v>
      </c>
      <c r="I42" s="16">
        <v>4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</row>
    <row r="43" spans="1:16" x14ac:dyDescent="0.2">
      <c r="A43" s="43">
        <v>41898</v>
      </c>
      <c r="B43" s="1">
        <v>4</v>
      </c>
      <c r="C43" s="33" t="s">
        <v>32</v>
      </c>
      <c r="D43" s="16">
        <v>6</v>
      </c>
      <c r="E43" s="16" t="s">
        <v>14</v>
      </c>
      <c r="F43" s="16">
        <v>4</v>
      </c>
      <c r="G43" s="16">
        <v>5</v>
      </c>
      <c r="H43" s="39">
        <f t="shared" si="1"/>
        <v>1.25</v>
      </c>
      <c r="I43" s="16">
        <v>0</v>
      </c>
      <c r="J43" s="16">
        <v>0</v>
      </c>
      <c r="K43" s="16">
        <v>4</v>
      </c>
      <c r="L43" s="16">
        <v>0</v>
      </c>
      <c r="M43" s="16">
        <v>0</v>
      </c>
      <c r="N43" s="16">
        <v>4</v>
      </c>
      <c r="O43" s="16">
        <v>0</v>
      </c>
      <c r="P43" s="16">
        <v>0</v>
      </c>
    </row>
    <row r="44" spans="1:16" x14ac:dyDescent="0.2">
      <c r="A44" s="43">
        <v>41906</v>
      </c>
      <c r="B44" s="1">
        <v>5</v>
      </c>
      <c r="C44" s="33" t="s">
        <v>32</v>
      </c>
      <c r="D44" s="16">
        <v>6</v>
      </c>
      <c r="E44" s="16" t="s">
        <v>14</v>
      </c>
      <c r="F44" s="16">
        <v>4</v>
      </c>
      <c r="G44" s="16">
        <v>0</v>
      </c>
      <c r="H44" s="39">
        <f t="shared" si="1"/>
        <v>0</v>
      </c>
      <c r="I44" s="16">
        <v>0</v>
      </c>
      <c r="J44" s="16">
        <v>1</v>
      </c>
      <c r="K44" s="16">
        <v>0</v>
      </c>
      <c r="L44" s="16">
        <v>1</v>
      </c>
      <c r="M44" s="16">
        <v>0</v>
      </c>
      <c r="N44" s="16">
        <v>0</v>
      </c>
      <c r="O44" s="16">
        <v>0</v>
      </c>
      <c r="P44" s="16">
        <v>0</v>
      </c>
    </row>
    <row r="45" spans="1:16" x14ac:dyDescent="0.2">
      <c r="A45" s="43">
        <v>41803</v>
      </c>
      <c r="B45" s="1" t="s">
        <v>127</v>
      </c>
      <c r="C45" s="33" t="s">
        <v>33</v>
      </c>
      <c r="D45" s="16">
        <v>7</v>
      </c>
      <c r="E45" s="16" t="s">
        <v>15</v>
      </c>
      <c r="F45" s="16">
        <v>3</v>
      </c>
      <c r="G45" s="16">
        <v>0</v>
      </c>
      <c r="H45" s="39">
        <f t="shared" si="1"/>
        <v>0</v>
      </c>
      <c r="I45" s="16">
        <v>3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</row>
    <row r="46" spans="1:16" x14ac:dyDescent="0.2">
      <c r="A46" s="43">
        <v>41814</v>
      </c>
      <c r="B46" s="1" t="s">
        <v>127</v>
      </c>
      <c r="C46" s="33" t="s">
        <v>33</v>
      </c>
      <c r="D46" s="16">
        <v>7</v>
      </c>
      <c r="E46" s="16" t="s">
        <v>15</v>
      </c>
      <c r="F46" s="16">
        <v>3</v>
      </c>
      <c r="G46" s="16">
        <v>0</v>
      </c>
      <c r="H46" s="39">
        <f t="shared" si="1"/>
        <v>0</v>
      </c>
      <c r="I46" s="16">
        <v>3</v>
      </c>
      <c r="J46" s="16">
        <v>1</v>
      </c>
      <c r="K46" s="16">
        <v>0</v>
      </c>
      <c r="L46" s="16">
        <v>0</v>
      </c>
      <c r="M46" s="16">
        <v>1</v>
      </c>
      <c r="N46" s="16">
        <v>0</v>
      </c>
      <c r="O46" s="16">
        <v>0</v>
      </c>
      <c r="P46" s="16">
        <v>0</v>
      </c>
    </row>
    <row r="47" spans="1:16" x14ac:dyDescent="0.2">
      <c r="A47" s="43">
        <v>41816</v>
      </c>
      <c r="B47" s="1" t="s">
        <v>127</v>
      </c>
      <c r="C47" s="33" t="s">
        <v>33</v>
      </c>
      <c r="D47" s="16">
        <v>7</v>
      </c>
      <c r="E47" s="16" t="s">
        <v>15</v>
      </c>
      <c r="F47" s="16">
        <v>3</v>
      </c>
      <c r="G47" s="16">
        <v>0</v>
      </c>
      <c r="H47" s="39">
        <f t="shared" si="1"/>
        <v>0</v>
      </c>
      <c r="I47" s="16">
        <v>0</v>
      </c>
      <c r="J47" s="16">
        <v>1</v>
      </c>
      <c r="K47" s="16">
        <v>0</v>
      </c>
      <c r="L47" s="16">
        <v>1</v>
      </c>
      <c r="M47" s="16">
        <v>0</v>
      </c>
      <c r="N47" s="16">
        <v>0</v>
      </c>
      <c r="O47" s="16">
        <v>0</v>
      </c>
      <c r="P47" s="16">
        <v>0</v>
      </c>
    </row>
    <row r="48" spans="1:16" x14ac:dyDescent="0.2">
      <c r="A48" s="43">
        <v>41821</v>
      </c>
      <c r="B48" s="1" t="s">
        <v>127</v>
      </c>
      <c r="C48" s="33" t="s">
        <v>33</v>
      </c>
      <c r="D48" s="16">
        <v>7</v>
      </c>
      <c r="E48" s="16" t="s">
        <v>15</v>
      </c>
      <c r="F48" s="16">
        <v>3</v>
      </c>
      <c r="G48" s="16">
        <v>0</v>
      </c>
      <c r="H48" s="39">
        <f t="shared" si="1"/>
        <v>0</v>
      </c>
      <c r="I48" s="16">
        <v>1</v>
      </c>
      <c r="J48" s="16">
        <v>2</v>
      </c>
      <c r="K48" s="16">
        <v>0</v>
      </c>
      <c r="L48" s="16">
        <v>0</v>
      </c>
      <c r="M48" s="16">
        <v>2</v>
      </c>
      <c r="N48" s="16">
        <v>0</v>
      </c>
      <c r="O48" s="16">
        <v>0</v>
      </c>
      <c r="P48" s="16">
        <v>0</v>
      </c>
    </row>
    <row r="49" spans="1:16" x14ac:dyDescent="0.2">
      <c r="A49" s="43">
        <v>41830</v>
      </c>
      <c r="B49" s="1" t="s">
        <v>127</v>
      </c>
      <c r="C49" s="33" t="s">
        <v>33</v>
      </c>
      <c r="D49" s="16">
        <v>7</v>
      </c>
      <c r="E49" s="16" t="s">
        <v>15</v>
      </c>
      <c r="F49" s="16">
        <v>3</v>
      </c>
      <c r="G49" s="16">
        <v>0</v>
      </c>
      <c r="H49" s="39">
        <f t="shared" si="1"/>
        <v>0</v>
      </c>
      <c r="I49" s="16">
        <v>1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</row>
    <row r="50" spans="1:16" x14ac:dyDescent="0.2">
      <c r="A50" s="43">
        <v>41837</v>
      </c>
      <c r="B50" s="1" t="s">
        <v>127</v>
      </c>
      <c r="C50" s="33" t="s">
        <v>33</v>
      </c>
      <c r="D50" s="16">
        <v>7</v>
      </c>
      <c r="E50" s="16" t="s">
        <v>15</v>
      </c>
      <c r="F50" s="16">
        <v>3</v>
      </c>
      <c r="G50" s="16">
        <v>0</v>
      </c>
      <c r="H50" s="39">
        <f t="shared" si="1"/>
        <v>0</v>
      </c>
      <c r="I50" s="16">
        <v>2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</row>
    <row r="51" spans="1:16" x14ac:dyDescent="0.2">
      <c r="A51" s="43">
        <v>41845</v>
      </c>
      <c r="B51" s="1" t="s">
        <v>127</v>
      </c>
      <c r="C51" s="33" t="s">
        <v>33</v>
      </c>
      <c r="D51" s="16">
        <v>7</v>
      </c>
      <c r="E51" s="16" t="s">
        <v>15</v>
      </c>
      <c r="F51" s="16">
        <v>3</v>
      </c>
      <c r="G51" s="16">
        <v>0</v>
      </c>
      <c r="H51" s="39">
        <f t="shared" si="1"/>
        <v>0</v>
      </c>
      <c r="I51" s="16">
        <v>2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</row>
    <row r="52" spans="1:16" x14ac:dyDescent="0.2">
      <c r="A52" s="43">
        <v>41859</v>
      </c>
      <c r="B52" s="1" t="s">
        <v>127</v>
      </c>
      <c r="C52" s="33" t="s">
        <v>33</v>
      </c>
      <c r="D52" s="16">
        <v>7</v>
      </c>
      <c r="E52" s="16" t="s">
        <v>15</v>
      </c>
      <c r="F52" s="16">
        <v>3</v>
      </c>
      <c r="G52" s="16">
        <v>0</v>
      </c>
      <c r="H52" s="39">
        <f t="shared" si="1"/>
        <v>0</v>
      </c>
      <c r="I52" s="16">
        <v>1</v>
      </c>
      <c r="J52" s="16">
        <v>1</v>
      </c>
      <c r="K52" s="16">
        <v>0</v>
      </c>
      <c r="L52" s="16">
        <v>1</v>
      </c>
      <c r="M52" s="16">
        <v>0</v>
      </c>
      <c r="N52" s="16">
        <v>0</v>
      </c>
      <c r="O52" s="16">
        <v>0</v>
      </c>
      <c r="P52" s="16">
        <v>0</v>
      </c>
    </row>
    <row r="53" spans="1:16" x14ac:dyDescent="0.2">
      <c r="A53" s="43">
        <v>41866</v>
      </c>
      <c r="B53" s="1" t="s">
        <v>127</v>
      </c>
      <c r="C53" s="33" t="s">
        <v>33</v>
      </c>
      <c r="D53" s="16">
        <v>7</v>
      </c>
      <c r="E53" s="16" t="s">
        <v>15</v>
      </c>
      <c r="F53" s="16">
        <v>3</v>
      </c>
      <c r="G53" s="16">
        <v>0</v>
      </c>
      <c r="H53" s="39">
        <f t="shared" si="1"/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</row>
    <row r="54" spans="1:16" x14ac:dyDescent="0.2">
      <c r="A54" s="44">
        <v>41873</v>
      </c>
      <c r="B54" s="1" t="s">
        <v>127</v>
      </c>
      <c r="C54" s="33" t="s">
        <v>33</v>
      </c>
      <c r="D54" s="16">
        <v>7</v>
      </c>
      <c r="E54" s="16" t="s">
        <v>15</v>
      </c>
      <c r="F54" s="16">
        <v>3</v>
      </c>
      <c r="G54" s="1">
        <v>0</v>
      </c>
      <c r="H54" s="39">
        <f t="shared" si="1"/>
        <v>0</v>
      </c>
      <c r="I54" s="1">
        <v>1</v>
      </c>
      <c r="J54" s="36">
        <v>0</v>
      </c>
      <c r="K54" s="36">
        <v>0</v>
      </c>
      <c r="L54" s="1">
        <v>0</v>
      </c>
      <c r="M54" s="21">
        <v>0</v>
      </c>
      <c r="N54" s="21">
        <v>0</v>
      </c>
      <c r="O54" s="21">
        <v>0</v>
      </c>
      <c r="P54" s="21">
        <v>0</v>
      </c>
    </row>
    <row r="55" spans="1:16" x14ac:dyDescent="0.2">
      <c r="A55" s="43">
        <v>41880</v>
      </c>
      <c r="B55" s="1">
        <v>1</v>
      </c>
      <c r="C55" s="33" t="s">
        <v>33</v>
      </c>
      <c r="D55" s="16">
        <v>7</v>
      </c>
      <c r="E55" s="16" t="s">
        <v>15</v>
      </c>
      <c r="F55" s="16">
        <v>3</v>
      </c>
      <c r="G55" s="16">
        <v>0</v>
      </c>
      <c r="H55" s="39">
        <f t="shared" si="1"/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</row>
    <row r="56" spans="1:16" x14ac:dyDescent="0.2">
      <c r="A56" s="43">
        <v>41886</v>
      </c>
      <c r="B56" s="1">
        <v>2</v>
      </c>
      <c r="C56" s="33" t="s">
        <v>33</v>
      </c>
      <c r="D56" s="16">
        <v>7</v>
      </c>
      <c r="E56" s="16" t="s">
        <v>15</v>
      </c>
      <c r="F56" s="16">
        <v>3</v>
      </c>
      <c r="G56" s="16">
        <v>1</v>
      </c>
      <c r="H56" s="39">
        <f t="shared" si="1"/>
        <v>0.33333333333333331</v>
      </c>
      <c r="I56" s="16">
        <v>8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</row>
    <row r="57" spans="1:16" x14ac:dyDescent="0.2">
      <c r="A57" s="43">
        <v>41893</v>
      </c>
      <c r="B57" s="1">
        <v>3</v>
      </c>
      <c r="C57" s="33" t="s">
        <v>33</v>
      </c>
      <c r="D57" s="16">
        <v>7</v>
      </c>
      <c r="E57" s="16" t="s">
        <v>15</v>
      </c>
      <c r="F57" s="16">
        <v>3</v>
      </c>
      <c r="G57" s="16">
        <v>5</v>
      </c>
      <c r="H57" s="39">
        <f t="shared" si="1"/>
        <v>1.6666666666666667</v>
      </c>
      <c r="I57" s="16">
        <v>9</v>
      </c>
      <c r="J57" s="16">
        <v>0</v>
      </c>
      <c r="K57" s="16">
        <v>3</v>
      </c>
      <c r="L57" s="16">
        <v>0</v>
      </c>
      <c r="M57" s="16">
        <v>0</v>
      </c>
      <c r="N57" s="16">
        <v>1</v>
      </c>
      <c r="O57" s="16">
        <v>2</v>
      </c>
      <c r="P57" s="16">
        <v>0</v>
      </c>
    </row>
    <row r="58" spans="1:16" x14ac:dyDescent="0.2">
      <c r="A58" s="43">
        <v>41900</v>
      </c>
      <c r="B58" s="1">
        <v>4</v>
      </c>
      <c r="C58" s="33" t="s">
        <v>33</v>
      </c>
      <c r="D58" s="16">
        <v>7</v>
      </c>
      <c r="E58" s="16" t="s">
        <v>15</v>
      </c>
      <c r="F58" s="16">
        <v>3</v>
      </c>
      <c r="G58" s="16">
        <v>4</v>
      </c>
      <c r="H58" s="39">
        <f t="shared" si="1"/>
        <v>1.3333333333333333</v>
      </c>
      <c r="I58" s="16">
        <v>8</v>
      </c>
      <c r="J58" s="16">
        <v>0</v>
      </c>
      <c r="K58" s="16">
        <v>3</v>
      </c>
      <c r="L58" s="16">
        <v>0</v>
      </c>
      <c r="M58" s="16">
        <v>0</v>
      </c>
      <c r="N58" s="16">
        <v>3</v>
      </c>
      <c r="O58" s="16">
        <v>0</v>
      </c>
      <c r="P58" s="16">
        <v>0</v>
      </c>
    </row>
    <row r="59" spans="1:16" x14ac:dyDescent="0.2">
      <c r="A59" s="43">
        <v>41905</v>
      </c>
      <c r="B59" s="1">
        <v>5</v>
      </c>
      <c r="C59" s="33" t="s">
        <v>33</v>
      </c>
      <c r="D59" s="16">
        <v>7</v>
      </c>
      <c r="E59" s="16" t="s">
        <v>15</v>
      </c>
      <c r="F59" s="16">
        <v>3</v>
      </c>
      <c r="G59" s="16">
        <v>0</v>
      </c>
      <c r="H59" s="39">
        <f t="shared" si="1"/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</row>
    <row r="60" spans="1:16" x14ac:dyDescent="0.2">
      <c r="A60" s="43">
        <v>41803</v>
      </c>
      <c r="B60" s="1" t="s">
        <v>127</v>
      </c>
      <c r="C60" s="33" t="s">
        <v>34</v>
      </c>
      <c r="D60" s="16">
        <v>8</v>
      </c>
      <c r="E60" s="16" t="s">
        <v>16</v>
      </c>
      <c r="F60" s="16">
        <v>3</v>
      </c>
      <c r="G60" s="16">
        <v>0</v>
      </c>
      <c r="H60" s="39">
        <f t="shared" si="1"/>
        <v>0</v>
      </c>
      <c r="I60" s="16">
        <v>3</v>
      </c>
      <c r="J60" s="16">
        <v>1</v>
      </c>
      <c r="K60" s="16">
        <v>0</v>
      </c>
      <c r="L60" s="16">
        <v>0</v>
      </c>
      <c r="M60" s="16">
        <v>1</v>
      </c>
      <c r="N60" s="16">
        <v>0</v>
      </c>
      <c r="O60" s="16">
        <v>0</v>
      </c>
      <c r="P60" s="16">
        <v>0</v>
      </c>
    </row>
    <row r="61" spans="1:16" x14ac:dyDescent="0.2">
      <c r="A61" s="43">
        <v>41814</v>
      </c>
      <c r="B61" s="1" t="s">
        <v>127</v>
      </c>
      <c r="C61" s="33" t="s">
        <v>34</v>
      </c>
      <c r="D61" s="16">
        <v>8</v>
      </c>
      <c r="E61" s="16" t="s">
        <v>16</v>
      </c>
      <c r="F61" s="16">
        <v>3</v>
      </c>
      <c r="G61" s="16">
        <v>0</v>
      </c>
      <c r="H61" s="39">
        <f t="shared" si="1"/>
        <v>0</v>
      </c>
      <c r="I61" s="16">
        <v>5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</row>
    <row r="62" spans="1:16" x14ac:dyDescent="0.2">
      <c r="A62" s="43">
        <v>41816</v>
      </c>
      <c r="B62" s="1" t="s">
        <v>127</v>
      </c>
      <c r="C62" s="33" t="s">
        <v>34</v>
      </c>
      <c r="D62" s="16">
        <v>8</v>
      </c>
      <c r="E62" s="16" t="s">
        <v>16</v>
      </c>
      <c r="F62" s="16">
        <v>3</v>
      </c>
      <c r="G62" s="16">
        <v>0</v>
      </c>
      <c r="H62" s="39">
        <f t="shared" si="1"/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</row>
    <row r="63" spans="1:16" x14ac:dyDescent="0.2">
      <c r="A63" s="43">
        <v>41821</v>
      </c>
      <c r="B63" s="1" t="s">
        <v>127</v>
      </c>
      <c r="C63" s="33" t="s">
        <v>34</v>
      </c>
      <c r="D63" s="16">
        <v>8</v>
      </c>
      <c r="E63" s="16" t="s">
        <v>16</v>
      </c>
      <c r="F63" s="16">
        <v>3</v>
      </c>
      <c r="G63" s="16">
        <v>0</v>
      </c>
      <c r="H63" s="39">
        <f t="shared" si="1"/>
        <v>0</v>
      </c>
      <c r="I63" s="16">
        <v>4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</row>
    <row r="64" spans="1:16" x14ac:dyDescent="0.2">
      <c r="A64" s="43">
        <v>41830</v>
      </c>
      <c r="B64" s="1" t="s">
        <v>127</v>
      </c>
      <c r="C64" s="33" t="s">
        <v>34</v>
      </c>
      <c r="D64" s="16">
        <v>8</v>
      </c>
      <c r="E64" s="16" t="s">
        <v>16</v>
      </c>
      <c r="F64" s="16">
        <v>3</v>
      </c>
      <c r="G64" s="16">
        <v>0</v>
      </c>
      <c r="H64" s="39">
        <f t="shared" si="1"/>
        <v>0</v>
      </c>
      <c r="I64" s="16">
        <v>1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</row>
    <row r="65" spans="1:16" x14ac:dyDescent="0.2">
      <c r="A65" s="43">
        <v>41837</v>
      </c>
      <c r="B65" s="1" t="s">
        <v>127</v>
      </c>
      <c r="C65" s="33" t="s">
        <v>34</v>
      </c>
      <c r="D65" s="16">
        <v>8</v>
      </c>
      <c r="E65" s="16" t="s">
        <v>16</v>
      </c>
      <c r="F65" s="16">
        <v>3</v>
      </c>
      <c r="G65" s="16">
        <v>0</v>
      </c>
      <c r="H65" s="39">
        <f t="shared" si="1"/>
        <v>0</v>
      </c>
      <c r="I65" s="16">
        <v>3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</row>
    <row r="66" spans="1:16" x14ac:dyDescent="0.2">
      <c r="A66" s="43">
        <v>41845</v>
      </c>
      <c r="B66" s="1" t="s">
        <v>127</v>
      </c>
      <c r="C66" s="33" t="s">
        <v>34</v>
      </c>
      <c r="D66" s="16">
        <v>8</v>
      </c>
      <c r="E66" s="16" t="s">
        <v>16</v>
      </c>
      <c r="F66" s="16">
        <v>3</v>
      </c>
      <c r="G66" s="16">
        <v>0</v>
      </c>
      <c r="H66" s="39">
        <f t="shared" si="1"/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</row>
    <row r="67" spans="1:16" x14ac:dyDescent="0.2">
      <c r="A67" s="43">
        <v>41859</v>
      </c>
      <c r="B67" s="1" t="s">
        <v>127</v>
      </c>
      <c r="C67" s="33" t="s">
        <v>34</v>
      </c>
      <c r="D67" s="16">
        <v>8</v>
      </c>
      <c r="E67" s="16" t="s">
        <v>16</v>
      </c>
      <c r="F67" s="16">
        <v>3</v>
      </c>
      <c r="G67" s="16">
        <v>0</v>
      </c>
      <c r="H67" s="39">
        <f t="shared" si="1"/>
        <v>0</v>
      </c>
      <c r="I67" s="16">
        <v>1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</row>
    <row r="68" spans="1:16" x14ac:dyDescent="0.2">
      <c r="A68" s="43">
        <v>41866</v>
      </c>
      <c r="B68" s="1" t="s">
        <v>127</v>
      </c>
      <c r="C68" s="33" t="s">
        <v>34</v>
      </c>
      <c r="D68" s="16">
        <v>8</v>
      </c>
      <c r="E68" s="16" t="s">
        <v>16</v>
      </c>
      <c r="F68" s="16">
        <v>3</v>
      </c>
      <c r="G68" s="16">
        <v>0</v>
      </c>
      <c r="H68" s="39">
        <f t="shared" ref="H68:H99" si="2">G68/F68</f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</row>
    <row r="69" spans="1:16" x14ac:dyDescent="0.2">
      <c r="A69" s="44">
        <v>41873</v>
      </c>
      <c r="B69" s="1" t="s">
        <v>127</v>
      </c>
      <c r="C69" s="33" t="s">
        <v>34</v>
      </c>
      <c r="D69" s="16">
        <v>8</v>
      </c>
      <c r="E69" s="16" t="s">
        <v>16</v>
      </c>
      <c r="F69" s="16">
        <v>3</v>
      </c>
      <c r="G69" s="1">
        <v>0</v>
      </c>
      <c r="H69" s="39">
        <f t="shared" si="2"/>
        <v>0</v>
      </c>
      <c r="I69" s="1">
        <v>1</v>
      </c>
      <c r="J69" s="36">
        <v>0</v>
      </c>
      <c r="K69" s="36">
        <v>0</v>
      </c>
      <c r="L69" s="1">
        <v>0</v>
      </c>
      <c r="M69" s="21">
        <v>0</v>
      </c>
      <c r="N69" s="21">
        <v>0</v>
      </c>
      <c r="O69" s="21">
        <v>0</v>
      </c>
      <c r="P69" s="21">
        <v>0</v>
      </c>
    </row>
    <row r="70" spans="1:16" x14ac:dyDescent="0.2">
      <c r="A70" s="43">
        <v>41880</v>
      </c>
      <c r="B70" s="1">
        <v>1</v>
      </c>
      <c r="C70" s="33" t="s">
        <v>34</v>
      </c>
      <c r="D70" s="16">
        <v>8</v>
      </c>
      <c r="E70" s="16" t="s">
        <v>16</v>
      </c>
      <c r="F70" s="16">
        <v>3</v>
      </c>
      <c r="G70" s="16">
        <v>1</v>
      </c>
      <c r="H70" s="39">
        <f t="shared" si="2"/>
        <v>0.33333333333333331</v>
      </c>
      <c r="I70" s="16">
        <v>1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</row>
    <row r="71" spans="1:16" x14ac:dyDescent="0.2">
      <c r="A71" s="43">
        <v>41886</v>
      </c>
      <c r="B71" s="1">
        <v>2</v>
      </c>
      <c r="C71" s="33" t="s">
        <v>34</v>
      </c>
      <c r="D71" s="16">
        <v>8</v>
      </c>
      <c r="E71" s="16" t="s">
        <v>16</v>
      </c>
      <c r="F71" s="16">
        <v>3</v>
      </c>
      <c r="G71" s="16">
        <v>1</v>
      </c>
      <c r="H71" s="39">
        <f t="shared" si="2"/>
        <v>0.33333333333333331</v>
      </c>
      <c r="I71" s="16">
        <v>2</v>
      </c>
      <c r="J71" s="16">
        <v>0</v>
      </c>
      <c r="K71" s="16">
        <v>1</v>
      </c>
      <c r="L71" s="16">
        <v>0</v>
      </c>
      <c r="M71" s="16">
        <v>0</v>
      </c>
      <c r="N71" s="16">
        <v>1</v>
      </c>
      <c r="O71" s="16">
        <v>0</v>
      </c>
      <c r="P71" s="16">
        <v>0</v>
      </c>
    </row>
    <row r="72" spans="1:16" x14ac:dyDescent="0.2">
      <c r="A72" s="43">
        <v>41893</v>
      </c>
      <c r="B72" s="1">
        <v>3</v>
      </c>
      <c r="C72" s="33" t="s">
        <v>34</v>
      </c>
      <c r="D72" s="16">
        <v>8</v>
      </c>
      <c r="E72" s="16" t="s">
        <v>16</v>
      </c>
      <c r="F72" s="16">
        <v>3</v>
      </c>
      <c r="G72" s="16">
        <v>9</v>
      </c>
      <c r="H72" s="39">
        <f t="shared" si="2"/>
        <v>3</v>
      </c>
      <c r="I72" s="16">
        <v>14</v>
      </c>
      <c r="J72" s="16">
        <v>0</v>
      </c>
      <c r="K72" s="16">
        <v>1</v>
      </c>
      <c r="L72" s="16">
        <v>0</v>
      </c>
      <c r="M72" s="16">
        <v>0</v>
      </c>
      <c r="N72" s="16">
        <v>0</v>
      </c>
      <c r="O72" s="16">
        <v>1</v>
      </c>
      <c r="P72" s="16">
        <v>0</v>
      </c>
    </row>
    <row r="73" spans="1:16" x14ac:dyDescent="0.2">
      <c r="A73" s="43">
        <v>41900</v>
      </c>
      <c r="B73" s="1">
        <v>4</v>
      </c>
      <c r="C73" s="33" t="s">
        <v>34</v>
      </c>
      <c r="D73" s="16">
        <v>8</v>
      </c>
      <c r="E73" s="16" t="s">
        <v>16</v>
      </c>
      <c r="F73" s="16">
        <v>3</v>
      </c>
      <c r="G73" s="16">
        <v>2</v>
      </c>
      <c r="H73" s="39">
        <f t="shared" si="2"/>
        <v>0.66666666666666663</v>
      </c>
      <c r="I73" s="16">
        <v>11</v>
      </c>
      <c r="J73" s="16">
        <v>6</v>
      </c>
      <c r="K73" s="16">
        <v>6</v>
      </c>
      <c r="L73" s="16">
        <v>3</v>
      </c>
      <c r="M73" s="16">
        <v>2</v>
      </c>
      <c r="N73" s="16">
        <v>3</v>
      </c>
      <c r="O73" s="16">
        <v>3</v>
      </c>
      <c r="P73" s="16">
        <v>1</v>
      </c>
    </row>
    <row r="74" spans="1:16" x14ac:dyDescent="0.2">
      <c r="A74" s="43">
        <v>41905</v>
      </c>
      <c r="B74" s="1">
        <v>5</v>
      </c>
      <c r="C74" s="33" t="s">
        <v>34</v>
      </c>
      <c r="D74" s="16">
        <v>8</v>
      </c>
      <c r="E74" s="16" t="s">
        <v>16</v>
      </c>
      <c r="F74" s="16">
        <v>3</v>
      </c>
      <c r="G74" s="16">
        <v>0</v>
      </c>
      <c r="H74" s="39">
        <f t="shared" si="2"/>
        <v>0</v>
      </c>
      <c r="I74" s="16">
        <v>1</v>
      </c>
      <c r="J74" s="16">
        <v>1</v>
      </c>
      <c r="K74" s="16">
        <v>4</v>
      </c>
      <c r="L74" s="16">
        <v>0</v>
      </c>
      <c r="M74" s="16">
        <v>1</v>
      </c>
      <c r="N74" s="16">
        <v>2</v>
      </c>
      <c r="O74" s="16">
        <v>2</v>
      </c>
      <c r="P74" s="16">
        <v>0</v>
      </c>
    </row>
    <row r="75" spans="1:16" x14ac:dyDescent="0.2">
      <c r="A75" s="43">
        <v>41806</v>
      </c>
      <c r="B75" s="1" t="s">
        <v>127</v>
      </c>
      <c r="C75" s="33" t="s">
        <v>35</v>
      </c>
      <c r="D75" s="16">
        <v>9</v>
      </c>
      <c r="E75" s="16" t="s">
        <v>17</v>
      </c>
      <c r="F75" s="16">
        <v>4</v>
      </c>
      <c r="G75" s="16">
        <v>0</v>
      </c>
      <c r="H75" s="39">
        <f t="shared" si="2"/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</row>
    <row r="76" spans="1:16" x14ac:dyDescent="0.2">
      <c r="A76" s="43">
        <v>41873</v>
      </c>
      <c r="B76" s="1" t="s">
        <v>127</v>
      </c>
      <c r="C76" s="33" t="s">
        <v>35</v>
      </c>
      <c r="D76" s="16">
        <v>9</v>
      </c>
      <c r="E76" s="16" t="s">
        <v>17</v>
      </c>
      <c r="F76" s="16">
        <v>4</v>
      </c>
      <c r="G76" s="16">
        <v>0</v>
      </c>
      <c r="H76" s="39">
        <f t="shared" si="2"/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</row>
    <row r="77" spans="1:16" x14ac:dyDescent="0.2">
      <c r="A77" s="43">
        <v>41886</v>
      </c>
      <c r="B77" s="1">
        <v>1</v>
      </c>
      <c r="C77" s="33" t="s">
        <v>35</v>
      </c>
      <c r="D77" s="16">
        <v>9</v>
      </c>
      <c r="E77" s="16" t="s">
        <v>17</v>
      </c>
      <c r="F77" s="16">
        <v>4</v>
      </c>
      <c r="G77" s="16">
        <v>0</v>
      </c>
      <c r="H77" s="39">
        <f t="shared" si="2"/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</row>
    <row r="78" spans="1:16" x14ac:dyDescent="0.2">
      <c r="A78" s="43">
        <v>41893</v>
      </c>
      <c r="B78" s="1">
        <v>2</v>
      </c>
      <c r="C78" s="33" t="s">
        <v>35</v>
      </c>
      <c r="D78" s="16">
        <v>9</v>
      </c>
      <c r="E78" s="16" t="s">
        <v>17</v>
      </c>
      <c r="F78" s="16">
        <v>4</v>
      </c>
      <c r="G78" s="16">
        <v>7</v>
      </c>
      <c r="H78" s="39">
        <f t="shared" si="2"/>
        <v>1.75</v>
      </c>
      <c r="I78" s="16">
        <v>11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</row>
    <row r="79" spans="1:16" x14ac:dyDescent="0.2">
      <c r="A79" s="43">
        <v>41900</v>
      </c>
      <c r="B79" s="1">
        <v>3</v>
      </c>
      <c r="C79" s="33" t="s">
        <v>35</v>
      </c>
      <c r="D79" s="16">
        <v>9</v>
      </c>
      <c r="E79" s="16" t="s">
        <v>17</v>
      </c>
      <c r="F79" s="16">
        <v>4</v>
      </c>
      <c r="G79" s="16">
        <v>2</v>
      </c>
      <c r="H79" s="39">
        <f t="shared" si="2"/>
        <v>0.5</v>
      </c>
      <c r="I79" s="16">
        <v>3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</row>
    <row r="80" spans="1:16" x14ac:dyDescent="0.2">
      <c r="A80" s="43">
        <v>41907</v>
      </c>
      <c r="B80" s="1">
        <v>4</v>
      </c>
      <c r="C80" s="33" t="s">
        <v>35</v>
      </c>
      <c r="D80" s="16">
        <v>9</v>
      </c>
      <c r="E80" s="16" t="s">
        <v>17</v>
      </c>
      <c r="F80" s="16">
        <v>4</v>
      </c>
      <c r="G80" s="16">
        <v>0</v>
      </c>
      <c r="H80" s="39">
        <f t="shared" si="2"/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</row>
    <row r="81" spans="1:16" x14ac:dyDescent="0.2">
      <c r="A81" s="43">
        <v>41807</v>
      </c>
      <c r="B81" s="1" t="s">
        <v>127</v>
      </c>
      <c r="C81" s="33" t="s">
        <v>36</v>
      </c>
      <c r="D81" s="16">
        <v>10</v>
      </c>
      <c r="E81" s="16" t="s">
        <v>18</v>
      </c>
      <c r="F81" s="46">
        <v>5</v>
      </c>
      <c r="G81" s="46">
        <v>0</v>
      </c>
      <c r="H81" s="47">
        <f t="shared" si="2"/>
        <v>0</v>
      </c>
      <c r="I81" s="46">
        <v>0</v>
      </c>
      <c r="J81" s="46">
        <v>1</v>
      </c>
      <c r="K81" s="46">
        <v>3</v>
      </c>
      <c r="L81" s="46">
        <v>1</v>
      </c>
      <c r="M81" s="46">
        <v>0</v>
      </c>
      <c r="N81" s="46">
        <v>2</v>
      </c>
      <c r="O81" s="46">
        <v>1</v>
      </c>
      <c r="P81" s="46">
        <v>0</v>
      </c>
    </row>
    <row r="82" spans="1:16" x14ac:dyDescent="0.2">
      <c r="A82" s="43">
        <v>41886</v>
      </c>
      <c r="B82" s="1">
        <v>1</v>
      </c>
      <c r="C82" s="33" t="s">
        <v>36</v>
      </c>
      <c r="D82" s="16">
        <v>10</v>
      </c>
      <c r="E82" s="16" t="s">
        <v>18</v>
      </c>
      <c r="F82" s="16">
        <v>5</v>
      </c>
      <c r="G82" s="16">
        <v>1</v>
      </c>
      <c r="H82" s="39">
        <f t="shared" si="2"/>
        <v>0.2</v>
      </c>
      <c r="I82" s="16">
        <v>4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</row>
    <row r="83" spans="1:16" x14ac:dyDescent="0.2">
      <c r="A83" s="43">
        <v>41893</v>
      </c>
      <c r="B83" s="1">
        <v>2</v>
      </c>
      <c r="C83" s="33" t="s">
        <v>36</v>
      </c>
      <c r="D83" s="16">
        <v>10</v>
      </c>
      <c r="E83" s="16" t="s">
        <v>18</v>
      </c>
      <c r="F83" s="16">
        <v>5</v>
      </c>
      <c r="G83" s="16">
        <v>11</v>
      </c>
      <c r="H83" s="39">
        <f t="shared" si="2"/>
        <v>2.2000000000000002</v>
      </c>
      <c r="I83" s="16">
        <v>18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</row>
    <row r="84" spans="1:16" x14ac:dyDescent="0.2">
      <c r="A84" s="43">
        <v>41900</v>
      </c>
      <c r="B84" s="1">
        <v>3</v>
      </c>
      <c r="C84" s="33" t="s">
        <v>36</v>
      </c>
      <c r="D84" s="16">
        <v>10</v>
      </c>
      <c r="E84" s="16" t="s">
        <v>18</v>
      </c>
      <c r="F84" s="16">
        <v>5</v>
      </c>
      <c r="G84" s="16">
        <v>0</v>
      </c>
      <c r="H84" s="39">
        <f t="shared" si="2"/>
        <v>0</v>
      </c>
      <c r="I84" s="16">
        <v>5</v>
      </c>
      <c r="J84" s="16">
        <v>0</v>
      </c>
      <c r="K84" s="16">
        <v>2</v>
      </c>
      <c r="L84" s="16">
        <v>0</v>
      </c>
      <c r="M84" s="16">
        <v>0</v>
      </c>
      <c r="N84" s="16">
        <v>0</v>
      </c>
      <c r="O84" s="16">
        <v>2</v>
      </c>
      <c r="P84" s="16">
        <v>0</v>
      </c>
    </row>
    <row r="85" spans="1:16" x14ac:dyDescent="0.2">
      <c r="A85" s="43">
        <v>41907</v>
      </c>
      <c r="B85" s="1">
        <v>4</v>
      </c>
      <c r="C85" s="33" t="s">
        <v>36</v>
      </c>
      <c r="D85" s="16">
        <v>10</v>
      </c>
      <c r="E85" s="16" t="s">
        <v>18</v>
      </c>
      <c r="F85" s="16">
        <v>5</v>
      </c>
      <c r="G85" s="16">
        <v>0</v>
      </c>
      <c r="H85" s="39">
        <f t="shared" si="2"/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</row>
    <row r="86" spans="1:16" x14ac:dyDescent="0.2">
      <c r="A86" s="43">
        <v>41901</v>
      </c>
      <c r="B86" s="1">
        <v>1</v>
      </c>
      <c r="C86" s="33" t="s">
        <v>37</v>
      </c>
      <c r="D86" s="16">
        <v>11</v>
      </c>
      <c r="E86" s="16" t="s">
        <v>19</v>
      </c>
      <c r="F86" s="16">
        <v>4</v>
      </c>
      <c r="G86" s="16">
        <v>4</v>
      </c>
      <c r="H86" s="39">
        <f t="shared" si="2"/>
        <v>1</v>
      </c>
      <c r="I86" s="16">
        <v>2</v>
      </c>
      <c r="J86" s="16">
        <v>1</v>
      </c>
      <c r="K86" s="16">
        <v>1</v>
      </c>
      <c r="L86" s="16">
        <v>0</v>
      </c>
      <c r="M86" s="16">
        <v>1</v>
      </c>
      <c r="N86" s="16">
        <v>0</v>
      </c>
      <c r="O86" s="16">
        <v>1</v>
      </c>
      <c r="P86" s="16">
        <v>0</v>
      </c>
    </row>
    <row r="87" spans="1:16" x14ac:dyDescent="0.2">
      <c r="A87" s="43">
        <v>41907</v>
      </c>
      <c r="B87" s="1">
        <v>2</v>
      </c>
      <c r="C87" s="33" t="s">
        <v>37</v>
      </c>
      <c r="D87" s="16">
        <v>11</v>
      </c>
      <c r="E87" s="16" t="s">
        <v>19</v>
      </c>
      <c r="F87" s="16">
        <v>4</v>
      </c>
      <c r="G87" s="16">
        <v>0</v>
      </c>
      <c r="H87" s="39">
        <f t="shared" si="2"/>
        <v>0</v>
      </c>
      <c r="I87" s="16">
        <v>0</v>
      </c>
      <c r="J87" s="16">
        <v>0</v>
      </c>
      <c r="K87" s="16">
        <v>1</v>
      </c>
      <c r="L87" s="16">
        <v>0</v>
      </c>
      <c r="M87" s="16">
        <v>0</v>
      </c>
      <c r="N87" s="16">
        <v>1</v>
      </c>
      <c r="O87" s="16">
        <v>0</v>
      </c>
      <c r="P87" s="16">
        <v>0</v>
      </c>
    </row>
    <row r="88" spans="1:16" x14ac:dyDescent="0.2">
      <c r="A88" s="43">
        <v>41904</v>
      </c>
      <c r="B88" s="1">
        <v>1</v>
      </c>
      <c r="C88" s="33" t="s">
        <v>38</v>
      </c>
      <c r="D88" s="16">
        <v>12</v>
      </c>
      <c r="E88" s="16" t="s">
        <v>20</v>
      </c>
      <c r="F88" s="16">
        <v>3</v>
      </c>
      <c r="G88" s="16">
        <v>0</v>
      </c>
      <c r="H88" s="39">
        <f t="shared" si="2"/>
        <v>0</v>
      </c>
      <c r="I88" s="16">
        <v>0</v>
      </c>
      <c r="J88" s="16">
        <v>1</v>
      </c>
      <c r="K88" s="16">
        <v>0</v>
      </c>
      <c r="L88" s="16">
        <v>1</v>
      </c>
      <c r="M88" s="16">
        <v>0</v>
      </c>
      <c r="N88" s="16">
        <v>0</v>
      </c>
      <c r="O88" s="16">
        <v>0</v>
      </c>
      <c r="P88" s="16">
        <v>0</v>
      </c>
    </row>
    <row r="89" spans="1:16" x14ac:dyDescent="0.2">
      <c r="A89" s="43">
        <v>41914</v>
      </c>
      <c r="B89" s="1">
        <v>2</v>
      </c>
      <c r="C89" s="33" t="s">
        <v>38</v>
      </c>
      <c r="D89" s="16">
        <v>12</v>
      </c>
      <c r="E89" s="16" t="s">
        <v>20</v>
      </c>
      <c r="F89" s="16">
        <v>3</v>
      </c>
      <c r="G89" s="16">
        <v>0</v>
      </c>
      <c r="H89" s="39">
        <f t="shared" si="2"/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</row>
    <row r="90" spans="1:16" x14ac:dyDescent="0.2">
      <c r="A90" s="43">
        <v>41914</v>
      </c>
      <c r="B90" s="1">
        <v>1</v>
      </c>
      <c r="C90" s="33" t="s">
        <v>124</v>
      </c>
      <c r="D90" s="16">
        <v>13</v>
      </c>
      <c r="E90" s="16" t="s">
        <v>21</v>
      </c>
      <c r="F90" s="16">
        <v>3</v>
      </c>
      <c r="G90" s="16">
        <v>1</v>
      </c>
      <c r="H90" s="39">
        <f t="shared" si="2"/>
        <v>0.33333333333333331</v>
      </c>
      <c r="I90" s="16">
        <v>0</v>
      </c>
      <c r="J90" s="16">
        <v>2</v>
      </c>
      <c r="K90" s="16">
        <v>1</v>
      </c>
      <c r="L90" s="16">
        <v>2</v>
      </c>
      <c r="M90" s="16">
        <v>0</v>
      </c>
      <c r="N90" s="16">
        <v>1</v>
      </c>
      <c r="O90" s="16">
        <v>0</v>
      </c>
      <c r="P90" s="16">
        <v>0</v>
      </c>
    </row>
    <row r="91" spans="1:16" x14ac:dyDescent="0.2">
      <c r="A91" s="43">
        <v>41914</v>
      </c>
      <c r="B91" s="1">
        <v>1</v>
      </c>
      <c r="C91" s="33" t="s">
        <v>123</v>
      </c>
      <c r="D91" s="16">
        <v>14</v>
      </c>
      <c r="E91" s="16" t="s">
        <v>22</v>
      </c>
      <c r="F91" s="16">
        <v>3</v>
      </c>
      <c r="G91" s="16">
        <v>0</v>
      </c>
      <c r="H91" s="39">
        <f t="shared" si="2"/>
        <v>0</v>
      </c>
      <c r="I91" s="16">
        <v>0</v>
      </c>
      <c r="J91" s="16">
        <v>3</v>
      </c>
      <c r="K91" s="16">
        <v>0</v>
      </c>
      <c r="L91" s="16">
        <v>3</v>
      </c>
      <c r="M91" s="16">
        <v>0</v>
      </c>
      <c r="N91" s="16">
        <v>0</v>
      </c>
      <c r="O91" s="16">
        <v>0</v>
      </c>
      <c r="P91" s="16">
        <v>0</v>
      </c>
    </row>
    <row r="92" spans="1:16" x14ac:dyDescent="0.2">
      <c r="A92" s="43">
        <v>41912</v>
      </c>
      <c r="B92" s="40">
        <v>1</v>
      </c>
      <c r="C92" s="33" t="s">
        <v>40</v>
      </c>
      <c r="D92" s="16">
        <v>15</v>
      </c>
      <c r="E92" s="16" t="s">
        <v>125</v>
      </c>
      <c r="F92" s="16">
        <v>6</v>
      </c>
      <c r="G92" s="16">
        <v>0</v>
      </c>
      <c r="H92" s="39">
        <f t="shared" si="2"/>
        <v>0</v>
      </c>
      <c r="I92" s="16">
        <v>0</v>
      </c>
      <c r="J92" s="16">
        <v>1</v>
      </c>
      <c r="K92" s="16">
        <v>2</v>
      </c>
      <c r="L92" s="16">
        <v>0</v>
      </c>
      <c r="M92" s="16">
        <v>1</v>
      </c>
      <c r="N92" s="16">
        <v>1</v>
      </c>
      <c r="O92" s="16">
        <v>1</v>
      </c>
      <c r="P92" s="16">
        <v>0</v>
      </c>
    </row>
    <row r="93" spans="1:16" x14ac:dyDescent="0.2">
      <c r="A93" s="43">
        <v>41912</v>
      </c>
      <c r="B93" s="40">
        <v>1</v>
      </c>
      <c r="C93" s="16" t="s">
        <v>129</v>
      </c>
      <c r="D93" s="16">
        <v>16</v>
      </c>
      <c r="E93" s="16" t="s">
        <v>128</v>
      </c>
      <c r="F93" s="1">
        <v>6</v>
      </c>
      <c r="G93" s="16">
        <v>1</v>
      </c>
      <c r="H93" s="39">
        <f t="shared" si="2"/>
        <v>0.16666666666666666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</row>
    <row r="94" spans="1:16" x14ac:dyDescent="0.2">
      <c r="A94" s="43">
        <v>41912</v>
      </c>
      <c r="B94" s="40">
        <v>1</v>
      </c>
      <c r="C94" s="16" t="s">
        <v>131</v>
      </c>
      <c r="D94" s="16">
        <v>17</v>
      </c>
      <c r="E94" s="16" t="s">
        <v>130</v>
      </c>
      <c r="F94" s="1">
        <v>2</v>
      </c>
      <c r="G94" s="16">
        <v>0</v>
      </c>
      <c r="H94" s="39">
        <f t="shared" si="2"/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</row>
    <row r="95" spans="1:16" x14ac:dyDescent="0.2">
      <c r="A95" s="43">
        <v>41912</v>
      </c>
      <c r="B95" s="40">
        <v>1</v>
      </c>
      <c r="C95" s="16" t="s">
        <v>133</v>
      </c>
      <c r="D95" s="16">
        <v>18</v>
      </c>
      <c r="E95" s="16" t="s">
        <v>132</v>
      </c>
      <c r="F95" s="1">
        <v>3</v>
      </c>
      <c r="G95" s="16">
        <v>0</v>
      </c>
      <c r="H95" s="39">
        <f t="shared" si="2"/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</row>
    <row r="96" spans="1:16" x14ac:dyDescent="0.2">
      <c r="A96" s="43">
        <v>41915</v>
      </c>
      <c r="B96" s="40">
        <v>1</v>
      </c>
      <c r="C96" s="16" t="s">
        <v>143</v>
      </c>
      <c r="D96" s="16">
        <v>19</v>
      </c>
      <c r="E96" s="16" t="s">
        <v>141</v>
      </c>
      <c r="F96" s="1">
        <v>4</v>
      </c>
      <c r="G96" s="16">
        <v>0</v>
      </c>
      <c r="H96" s="39">
        <f t="shared" si="2"/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</row>
    <row r="97" spans="1:16" x14ac:dyDescent="0.2">
      <c r="A97" s="43">
        <v>41915</v>
      </c>
      <c r="B97" s="40">
        <v>1</v>
      </c>
      <c r="C97" s="16" t="s">
        <v>144</v>
      </c>
      <c r="D97" s="16">
        <v>20</v>
      </c>
      <c r="E97" s="16" t="s">
        <v>142</v>
      </c>
      <c r="F97" s="1">
        <v>4</v>
      </c>
      <c r="G97" s="16">
        <v>1</v>
      </c>
      <c r="H97" s="39">
        <f t="shared" si="2"/>
        <v>0.25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</row>
    <row r="98" spans="1:16" x14ac:dyDescent="0.2">
      <c r="A98" s="43">
        <v>41908</v>
      </c>
      <c r="B98" s="40">
        <v>1</v>
      </c>
      <c r="C98" s="16" t="s">
        <v>136</v>
      </c>
      <c r="D98" s="16">
        <v>21</v>
      </c>
      <c r="E98" s="16" t="s">
        <v>134</v>
      </c>
      <c r="F98" s="1">
        <v>3</v>
      </c>
      <c r="G98" s="16">
        <v>0</v>
      </c>
      <c r="H98" s="39">
        <f t="shared" si="2"/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</row>
    <row r="99" spans="1:16" ht="13.5" thickBot="1" x14ac:dyDescent="0.25">
      <c r="A99" s="43">
        <v>41908</v>
      </c>
      <c r="B99" s="40">
        <v>1</v>
      </c>
      <c r="C99" s="16" t="s">
        <v>137</v>
      </c>
      <c r="D99" s="16">
        <v>22</v>
      </c>
      <c r="E99" s="16" t="s">
        <v>135</v>
      </c>
      <c r="F99" s="4">
        <v>4</v>
      </c>
      <c r="G99" s="17">
        <v>0</v>
      </c>
      <c r="H99" s="45">
        <f t="shared" si="2"/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</row>
    <row r="100" spans="1:16" x14ac:dyDescent="0.2">
      <c r="F100" s="2">
        <f>SUM(F4:F99)</f>
        <v>331</v>
      </c>
      <c r="G100" s="2">
        <f>SUM(G4:G99)</f>
        <v>124</v>
      </c>
      <c r="H100" s="64">
        <f>G100/F100</f>
        <v>0.37462235649546827</v>
      </c>
      <c r="I100" s="2">
        <f>SUM(I4:I99)</f>
        <v>225</v>
      </c>
      <c r="J100" s="2">
        <f t="shared" ref="J100:P100" si="3">SUM(J4:J99)</f>
        <v>26</v>
      </c>
      <c r="K100" s="2">
        <f t="shared" si="3"/>
        <v>69</v>
      </c>
      <c r="L100" s="2">
        <f t="shared" si="3"/>
        <v>16</v>
      </c>
      <c r="M100" s="2">
        <f t="shared" si="3"/>
        <v>9</v>
      </c>
      <c r="N100" s="2">
        <f t="shared" si="3"/>
        <v>33</v>
      </c>
      <c r="O100" s="2">
        <f t="shared" si="3"/>
        <v>35</v>
      </c>
      <c r="P100" s="2">
        <f t="shared" si="3"/>
        <v>2</v>
      </c>
    </row>
    <row r="105" spans="1:16" x14ac:dyDescent="0.2">
      <c r="L105" s="1"/>
    </row>
  </sheetData>
  <pageMargins left="0.7" right="0.7" top="0.75" bottom="0.75" header="0.3" footer="0.3"/>
  <pageSetup scale="49" orientation="portrait" r:id="rId1"/>
  <ignoredErrors>
    <ignoredError sqref="H100" formula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75"/>
  <sheetViews>
    <sheetView workbookViewId="0">
      <pane ySplit="3" topLeftCell="A27" activePane="bottomLeft" state="frozen"/>
      <selection pane="bottomLeft" activeCell="G62" sqref="G62:G67"/>
    </sheetView>
  </sheetViews>
  <sheetFormatPr defaultRowHeight="12.75" x14ac:dyDescent="0.2"/>
  <cols>
    <col min="1" max="1" width="10.140625" bestFit="1" customWidth="1"/>
    <col min="5" max="5" width="37.85546875" customWidth="1"/>
    <col min="16" max="16" width="12.7109375" customWidth="1"/>
  </cols>
  <sheetData>
    <row r="1" spans="1:16" x14ac:dyDescent="0.2">
      <c r="A1" s="2"/>
      <c r="B1" s="2"/>
      <c r="C1" s="2"/>
      <c r="D1" s="2"/>
      <c r="E1" s="2"/>
      <c r="F1" s="2" t="s">
        <v>4</v>
      </c>
      <c r="G1" s="2" t="s">
        <v>140</v>
      </c>
      <c r="H1" s="2" t="s">
        <v>3</v>
      </c>
      <c r="I1" s="3" t="s">
        <v>24</v>
      </c>
      <c r="J1" s="3"/>
      <c r="K1" s="3"/>
    </row>
    <row r="2" spans="1:16" x14ac:dyDescent="0.2">
      <c r="A2" s="2" t="s">
        <v>0</v>
      </c>
      <c r="B2" s="2" t="s">
        <v>1</v>
      </c>
      <c r="C2" s="2" t="s">
        <v>108</v>
      </c>
      <c r="D2" s="2" t="s">
        <v>113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  <c r="P2" s="21" t="s">
        <v>138</v>
      </c>
    </row>
    <row r="3" spans="1:16" ht="13.5" thickBot="1" x14ac:dyDescent="0.25">
      <c r="A3" s="1"/>
      <c r="D3" s="2" t="s">
        <v>114</v>
      </c>
      <c r="I3" s="1"/>
      <c r="J3" s="4" t="s">
        <v>6</v>
      </c>
      <c r="K3" s="4" t="s">
        <v>7</v>
      </c>
      <c r="L3" s="1" t="s">
        <v>109</v>
      </c>
      <c r="M3" s="21" t="s">
        <v>110</v>
      </c>
      <c r="N3" s="21" t="s">
        <v>111</v>
      </c>
      <c r="O3" s="21" t="s">
        <v>112</v>
      </c>
      <c r="P3" s="21" t="s">
        <v>139</v>
      </c>
    </row>
    <row r="4" spans="1:16" x14ac:dyDescent="0.2">
      <c r="A4" s="38">
        <v>41514</v>
      </c>
      <c r="B4" s="1">
        <v>1</v>
      </c>
      <c r="C4" s="33" t="s">
        <v>27</v>
      </c>
      <c r="D4" s="16">
        <v>1</v>
      </c>
      <c r="E4" s="16" t="s">
        <v>9</v>
      </c>
      <c r="F4" s="16">
        <v>6</v>
      </c>
      <c r="G4" s="16">
        <v>0</v>
      </c>
      <c r="H4" s="41">
        <f t="shared" ref="H4:H35" si="0">G4/F4</f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</row>
    <row r="5" spans="1:16" x14ac:dyDescent="0.2">
      <c r="A5" s="38">
        <v>41521</v>
      </c>
      <c r="B5" s="1">
        <v>2</v>
      </c>
      <c r="C5" s="33" t="s">
        <v>27</v>
      </c>
      <c r="D5" s="16">
        <v>1</v>
      </c>
      <c r="E5" s="16" t="s">
        <v>9</v>
      </c>
      <c r="F5" s="16">
        <v>6</v>
      </c>
      <c r="G5" s="16">
        <v>0</v>
      </c>
      <c r="H5" s="41">
        <f t="shared" si="0"/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</row>
    <row r="6" spans="1:16" x14ac:dyDescent="0.2">
      <c r="A6" s="38">
        <v>41514</v>
      </c>
      <c r="B6" s="1">
        <v>1</v>
      </c>
      <c r="C6" s="33" t="s">
        <v>28</v>
      </c>
      <c r="D6" s="16">
        <v>2</v>
      </c>
      <c r="E6" s="16" t="s">
        <v>10</v>
      </c>
      <c r="F6" s="16">
        <v>3</v>
      </c>
      <c r="G6" s="16">
        <v>0</v>
      </c>
      <c r="H6" s="41">
        <f t="shared" si="0"/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</row>
    <row r="7" spans="1:16" x14ac:dyDescent="0.2">
      <c r="A7" s="38">
        <v>41521</v>
      </c>
      <c r="B7" s="1">
        <v>2</v>
      </c>
      <c r="C7" s="33" t="s">
        <v>28</v>
      </c>
      <c r="D7" s="16">
        <v>2</v>
      </c>
      <c r="E7" s="16" t="s">
        <v>10</v>
      </c>
      <c r="F7" s="16">
        <v>3</v>
      </c>
      <c r="G7" s="16">
        <v>2</v>
      </c>
      <c r="H7" s="41">
        <f t="shared" si="0"/>
        <v>0.66666666666666663</v>
      </c>
      <c r="I7" s="16">
        <v>1</v>
      </c>
      <c r="J7" s="16">
        <v>0</v>
      </c>
      <c r="K7" s="16">
        <v>1</v>
      </c>
      <c r="L7" s="16">
        <v>0</v>
      </c>
      <c r="M7" s="16">
        <v>0</v>
      </c>
      <c r="N7" s="16">
        <v>1</v>
      </c>
      <c r="O7" s="16">
        <v>0</v>
      </c>
      <c r="P7" s="16">
        <v>0</v>
      </c>
    </row>
    <row r="8" spans="1:16" x14ac:dyDescent="0.2">
      <c r="A8" s="38">
        <v>41526</v>
      </c>
      <c r="B8" s="1">
        <v>3</v>
      </c>
      <c r="C8" s="33" t="s">
        <v>28</v>
      </c>
      <c r="D8" s="16">
        <v>2</v>
      </c>
      <c r="E8" s="16" t="s">
        <v>10</v>
      </c>
      <c r="F8" s="16">
        <v>3</v>
      </c>
      <c r="G8" s="16">
        <v>1</v>
      </c>
      <c r="H8" s="41">
        <f t="shared" si="0"/>
        <v>0.33333333333333331</v>
      </c>
      <c r="I8" s="16">
        <v>6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</row>
    <row r="9" spans="1:16" x14ac:dyDescent="0.2">
      <c r="A9" s="38">
        <v>41536</v>
      </c>
      <c r="B9" s="1">
        <v>4</v>
      </c>
      <c r="C9" s="33" t="s">
        <v>28</v>
      </c>
      <c r="D9" s="16">
        <v>2</v>
      </c>
      <c r="E9" s="16" t="s">
        <v>10</v>
      </c>
      <c r="F9" s="16">
        <v>3</v>
      </c>
      <c r="G9" s="16">
        <v>0</v>
      </c>
      <c r="H9" s="41">
        <f t="shared" si="0"/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</row>
    <row r="10" spans="1:16" x14ac:dyDescent="0.2">
      <c r="A10" s="38">
        <v>41542</v>
      </c>
      <c r="B10" s="1">
        <v>5</v>
      </c>
      <c r="C10" s="33" t="s">
        <v>28</v>
      </c>
      <c r="D10" s="16">
        <v>2</v>
      </c>
      <c r="E10" s="16" t="s">
        <v>10</v>
      </c>
      <c r="F10" s="16">
        <v>3</v>
      </c>
      <c r="G10" s="16">
        <v>0</v>
      </c>
      <c r="H10" s="41">
        <f t="shared" si="0"/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</row>
    <row r="11" spans="1:16" x14ac:dyDescent="0.2">
      <c r="A11" s="38">
        <v>41515</v>
      </c>
      <c r="B11" s="1">
        <v>1</v>
      </c>
      <c r="C11" s="33" t="s">
        <v>29</v>
      </c>
      <c r="D11" s="16">
        <v>3</v>
      </c>
      <c r="E11" s="16" t="s">
        <v>11</v>
      </c>
      <c r="F11" s="16">
        <v>2</v>
      </c>
      <c r="G11" s="16">
        <v>0</v>
      </c>
      <c r="H11" s="41">
        <f t="shared" si="0"/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</row>
    <row r="12" spans="1:16" x14ac:dyDescent="0.2">
      <c r="A12" s="38">
        <v>41521</v>
      </c>
      <c r="B12" s="1">
        <v>2</v>
      </c>
      <c r="C12" s="33" t="s">
        <v>29</v>
      </c>
      <c r="D12" s="16">
        <v>3</v>
      </c>
      <c r="E12" s="16" t="s">
        <v>11</v>
      </c>
      <c r="F12" s="16">
        <v>2</v>
      </c>
      <c r="G12" s="16">
        <v>0</v>
      </c>
      <c r="H12" s="41">
        <f t="shared" si="0"/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</row>
    <row r="13" spans="1:16" x14ac:dyDescent="0.2">
      <c r="A13" s="38">
        <v>41526</v>
      </c>
      <c r="B13" s="1">
        <v>3</v>
      </c>
      <c r="C13" s="33" t="s">
        <v>29</v>
      </c>
      <c r="D13" s="16">
        <v>3</v>
      </c>
      <c r="E13" s="16" t="s">
        <v>11</v>
      </c>
      <c r="F13" s="16">
        <v>2</v>
      </c>
      <c r="G13" s="16">
        <v>0</v>
      </c>
      <c r="H13" s="41">
        <f t="shared" si="0"/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</row>
    <row r="14" spans="1:16" x14ac:dyDescent="0.2">
      <c r="A14" s="38">
        <v>41536</v>
      </c>
      <c r="B14" s="1">
        <v>4</v>
      </c>
      <c r="C14" s="33" t="s">
        <v>29</v>
      </c>
      <c r="D14" s="16">
        <v>3</v>
      </c>
      <c r="E14" s="16" t="s">
        <v>11</v>
      </c>
      <c r="F14" s="16">
        <v>2</v>
      </c>
      <c r="G14" s="16">
        <v>0</v>
      </c>
      <c r="H14" s="41">
        <f t="shared" si="0"/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</row>
    <row r="15" spans="1:16" x14ac:dyDescent="0.2">
      <c r="A15" s="38">
        <v>41542</v>
      </c>
      <c r="B15" s="1">
        <v>5</v>
      </c>
      <c r="C15" s="33" t="s">
        <v>29</v>
      </c>
      <c r="D15" s="16">
        <v>3</v>
      </c>
      <c r="E15" s="16" t="s">
        <v>11</v>
      </c>
      <c r="F15" s="16">
        <v>2</v>
      </c>
      <c r="G15" s="16">
        <v>0</v>
      </c>
      <c r="H15" s="41">
        <f t="shared" si="0"/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</row>
    <row r="16" spans="1:16" x14ac:dyDescent="0.2">
      <c r="A16" s="38">
        <v>41515</v>
      </c>
      <c r="B16" s="1">
        <v>1</v>
      </c>
      <c r="C16" s="33" t="s">
        <v>30</v>
      </c>
      <c r="D16" s="16">
        <v>4</v>
      </c>
      <c r="E16" s="16" t="s">
        <v>12</v>
      </c>
      <c r="F16" s="16">
        <v>5</v>
      </c>
      <c r="G16" s="16">
        <v>0</v>
      </c>
      <c r="H16" s="41">
        <f t="shared" si="0"/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</row>
    <row r="17" spans="1:16" x14ac:dyDescent="0.2">
      <c r="A17" s="38">
        <v>41521</v>
      </c>
      <c r="B17" s="1">
        <v>2</v>
      </c>
      <c r="C17" s="33" t="s">
        <v>30</v>
      </c>
      <c r="D17" s="16">
        <v>4</v>
      </c>
      <c r="E17" s="16" t="s">
        <v>12</v>
      </c>
      <c r="F17" s="16">
        <v>5</v>
      </c>
      <c r="G17" s="16">
        <v>3</v>
      </c>
      <c r="H17" s="41">
        <f t="shared" si="0"/>
        <v>0.6</v>
      </c>
      <c r="I17" s="16">
        <v>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</row>
    <row r="18" spans="1:16" x14ac:dyDescent="0.2">
      <c r="A18" s="38">
        <v>41526</v>
      </c>
      <c r="B18" s="1">
        <v>3</v>
      </c>
      <c r="C18" s="33" t="s">
        <v>30</v>
      </c>
      <c r="D18" s="16">
        <v>4</v>
      </c>
      <c r="E18" s="16" t="s">
        <v>12</v>
      </c>
      <c r="F18" s="16">
        <v>5</v>
      </c>
      <c r="G18" s="16">
        <v>0</v>
      </c>
      <c r="H18" s="41">
        <f t="shared" si="0"/>
        <v>0</v>
      </c>
      <c r="I18" s="16">
        <v>2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</row>
    <row r="19" spans="1:16" x14ac:dyDescent="0.2">
      <c r="A19" s="38">
        <v>41536</v>
      </c>
      <c r="B19" s="1">
        <v>4</v>
      </c>
      <c r="C19" s="33" t="s">
        <v>30</v>
      </c>
      <c r="D19" s="16">
        <v>4</v>
      </c>
      <c r="E19" s="16" t="s">
        <v>12</v>
      </c>
      <c r="F19" s="16">
        <v>5</v>
      </c>
      <c r="G19" s="16">
        <v>1</v>
      </c>
      <c r="H19" s="41">
        <f t="shared" si="0"/>
        <v>0.2</v>
      </c>
      <c r="I19" s="16">
        <v>0</v>
      </c>
      <c r="J19" s="16">
        <v>1</v>
      </c>
      <c r="K19" s="16">
        <v>0</v>
      </c>
      <c r="L19" s="16">
        <v>0</v>
      </c>
      <c r="M19" s="16">
        <v>1</v>
      </c>
      <c r="N19" s="16">
        <v>0</v>
      </c>
      <c r="O19" s="16">
        <v>0</v>
      </c>
      <c r="P19" s="16">
        <v>0</v>
      </c>
    </row>
    <row r="20" spans="1:16" x14ac:dyDescent="0.2">
      <c r="A20" s="38">
        <v>41542</v>
      </c>
      <c r="B20" s="1">
        <v>5</v>
      </c>
      <c r="C20" s="33" t="s">
        <v>30</v>
      </c>
      <c r="D20" s="16">
        <v>4</v>
      </c>
      <c r="E20" s="16" t="s">
        <v>12</v>
      </c>
      <c r="F20" s="16">
        <v>5</v>
      </c>
      <c r="G20" s="16">
        <v>0</v>
      </c>
      <c r="H20" s="41">
        <f t="shared" si="0"/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</row>
    <row r="21" spans="1:16" x14ac:dyDescent="0.2">
      <c r="A21" s="42">
        <v>41514</v>
      </c>
      <c r="B21" s="1">
        <v>1</v>
      </c>
      <c r="C21" s="33" t="s">
        <v>31</v>
      </c>
      <c r="D21" s="16">
        <v>5</v>
      </c>
      <c r="E21" s="16" t="s">
        <v>13</v>
      </c>
      <c r="F21" s="16">
        <v>2</v>
      </c>
      <c r="G21" s="16">
        <v>0</v>
      </c>
      <c r="H21" s="41">
        <f t="shared" si="0"/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</row>
    <row r="22" spans="1:16" x14ac:dyDescent="0.2">
      <c r="A22" s="42">
        <v>41521</v>
      </c>
      <c r="B22" s="1">
        <v>2</v>
      </c>
      <c r="C22" s="33" t="s">
        <v>31</v>
      </c>
      <c r="D22" s="16">
        <v>5</v>
      </c>
      <c r="E22" s="16" t="s">
        <v>13</v>
      </c>
      <c r="F22" s="16">
        <v>2</v>
      </c>
      <c r="G22" s="16">
        <v>0</v>
      </c>
      <c r="H22" s="41">
        <f t="shared" si="0"/>
        <v>0</v>
      </c>
      <c r="I22" s="16">
        <v>1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</row>
    <row r="23" spans="1:16" x14ac:dyDescent="0.2">
      <c r="A23" s="38">
        <v>41528</v>
      </c>
      <c r="B23" s="1">
        <v>3</v>
      </c>
      <c r="C23" s="33" t="s">
        <v>31</v>
      </c>
      <c r="D23" s="16">
        <v>5</v>
      </c>
      <c r="E23" s="16" t="s">
        <v>13</v>
      </c>
      <c r="F23" s="16">
        <v>2</v>
      </c>
      <c r="G23" s="16">
        <v>2</v>
      </c>
      <c r="H23" s="41">
        <f t="shared" si="0"/>
        <v>1</v>
      </c>
      <c r="I23" s="16">
        <v>7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</row>
    <row r="24" spans="1:16" x14ac:dyDescent="0.2">
      <c r="A24" s="38">
        <v>41536</v>
      </c>
      <c r="B24" s="1">
        <v>4</v>
      </c>
      <c r="C24" s="33" t="s">
        <v>31</v>
      </c>
      <c r="D24" s="16">
        <v>5</v>
      </c>
      <c r="E24" s="16" t="s">
        <v>13</v>
      </c>
      <c r="F24" s="16">
        <v>2</v>
      </c>
      <c r="G24" s="16">
        <v>5</v>
      </c>
      <c r="H24" s="41">
        <f t="shared" si="0"/>
        <v>2.5</v>
      </c>
      <c r="I24" s="16">
        <v>0</v>
      </c>
      <c r="J24" s="16">
        <v>1</v>
      </c>
      <c r="K24" s="16">
        <v>0</v>
      </c>
      <c r="L24" s="16">
        <v>0</v>
      </c>
      <c r="M24" s="16">
        <v>1</v>
      </c>
      <c r="N24" s="16">
        <v>0</v>
      </c>
      <c r="O24" s="16">
        <v>0</v>
      </c>
      <c r="P24" s="16">
        <v>0</v>
      </c>
    </row>
    <row r="25" spans="1:16" x14ac:dyDescent="0.2">
      <c r="A25" s="38">
        <v>41549</v>
      </c>
      <c r="B25" s="1">
        <v>5</v>
      </c>
      <c r="C25" s="33" t="s">
        <v>31</v>
      </c>
      <c r="D25" s="16">
        <v>5</v>
      </c>
      <c r="E25" s="16" t="s">
        <v>13</v>
      </c>
      <c r="F25" s="16">
        <v>2</v>
      </c>
      <c r="G25" s="16">
        <v>0</v>
      </c>
      <c r="H25" s="41">
        <f t="shared" si="0"/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</row>
    <row r="26" spans="1:16" x14ac:dyDescent="0.2">
      <c r="A26" s="38">
        <v>41494</v>
      </c>
      <c r="B26" s="1" t="s">
        <v>127</v>
      </c>
      <c r="C26" s="33" t="s">
        <v>31</v>
      </c>
      <c r="D26" s="16">
        <v>5</v>
      </c>
      <c r="E26" s="16" t="s">
        <v>13</v>
      </c>
      <c r="F26" s="16">
        <v>2</v>
      </c>
      <c r="G26" s="16">
        <v>0</v>
      </c>
      <c r="H26" s="41">
        <f t="shared" si="0"/>
        <v>0</v>
      </c>
      <c r="I26" s="16">
        <v>1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</row>
    <row r="27" spans="1:16" x14ac:dyDescent="0.2">
      <c r="A27" s="42">
        <v>41514</v>
      </c>
      <c r="B27" s="1">
        <v>1</v>
      </c>
      <c r="C27" s="33" t="s">
        <v>32</v>
      </c>
      <c r="D27" s="16">
        <v>6</v>
      </c>
      <c r="E27" s="16" t="s">
        <v>14</v>
      </c>
      <c r="F27" s="16">
        <v>4</v>
      </c>
      <c r="G27" s="16">
        <v>0</v>
      </c>
      <c r="H27" s="41">
        <f t="shared" si="0"/>
        <v>0</v>
      </c>
      <c r="I27" s="16">
        <v>1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</row>
    <row r="28" spans="1:16" x14ac:dyDescent="0.2">
      <c r="A28" s="42">
        <v>41521</v>
      </c>
      <c r="B28" s="1">
        <v>2</v>
      </c>
      <c r="C28" s="33" t="s">
        <v>32</v>
      </c>
      <c r="D28" s="16">
        <v>6</v>
      </c>
      <c r="E28" s="16" t="s">
        <v>14</v>
      </c>
      <c r="F28" s="16">
        <v>4</v>
      </c>
      <c r="G28" s="16">
        <v>4</v>
      </c>
      <c r="H28" s="41">
        <f t="shared" si="0"/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</row>
    <row r="29" spans="1:16" x14ac:dyDescent="0.2">
      <c r="A29" s="38">
        <v>41528</v>
      </c>
      <c r="B29" s="1">
        <v>3</v>
      </c>
      <c r="C29" s="33" t="s">
        <v>32</v>
      </c>
      <c r="D29" s="16">
        <v>6</v>
      </c>
      <c r="E29" s="16" t="s">
        <v>14</v>
      </c>
      <c r="F29" s="16">
        <v>4</v>
      </c>
      <c r="G29" s="16">
        <v>3</v>
      </c>
      <c r="H29" s="41">
        <f t="shared" si="0"/>
        <v>0.75</v>
      </c>
      <c r="I29" s="16">
        <v>8</v>
      </c>
      <c r="J29" s="16">
        <v>0</v>
      </c>
      <c r="K29" s="16">
        <v>2</v>
      </c>
      <c r="L29" s="16">
        <v>0</v>
      </c>
      <c r="M29" s="16">
        <v>0</v>
      </c>
      <c r="N29" s="16">
        <v>2</v>
      </c>
      <c r="O29" s="16">
        <v>0</v>
      </c>
      <c r="P29" s="16">
        <v>1</v>
      </c>
    </row>
    <row r="30" spans="1:16" x14ac:dyDescent="0.2">
      <c r="A30" s="38">
        <v>41536</v>
      </c>
      <c r="B30" s="1">
        <v>4</v>
      </c>
      <c r="C30" s="33" t="s">
        <v>32</v>
      </c>
      <c r="D30" s="16">
        <v>6</v>
      </c>
      <c r="E30" s="16" t="s">
        <v>14</v>
      </c>
      <c r="F30" s="16">
        <v>4</v>
      </c>
      <c r="G30" s="16">
        <v>0</v>
      </c>
      <c r="H30" s="41">
        <f t="shared" si="0"/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</row>
    <row r="31" spans="1:16" x14ac:dyDescent="0.2">
      <c r="A31" s="38">
        <v>41549</v>
      </c>
      <c r="B31" s="1">
        <v>5</v>
      </c>
      <c r="C31" s="33" t="s">
        <v>32</v>
      </c>
      <c r="D31" s="16">
        <v>6</v>
      </c>
      <c r="E31" s="16" t="s">
        <v>14</v>
      </c>
      <c r="F31" s="16">
        <v>4</v>
      </c>
      <c r="G31" s="16">
        <v>0</v>
      </c>
      <c r="H31" s="41">
        <f t="shared" si="0"/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</row>
    <row r="32" spans="1:16" x14ac:dyDescent="0.2">
      <c r="A32" s="38">
        <v>41494</v>
      </c>
      <c r="B32" s="1" t="s">
        <v>127</v>
      </c>
      <c r="C32" s="33" t="s">
        <v>32</v>
      </c>
      <c r="D32" s="16">
        <v>6</v>
      </c>
      <c r="E32" s="16" t="s">
        <v>14</v>
      </c>
      <c r="F32" s="16">
        <v>4</v>
      </c>
      <c r="G32" s="16">
        <v>0</v>
      </c>
      <c r="H32" s="41">
        <f t="shared" si="0"/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</row>
    <row r="33" spans="1:16" x14ac:dyDescent="0.2">
      <c r="A33" s="38">
        <v>41514</v>
      </c>
      <c r="B33" s="1">
        <v>1</v>
      </c>
      <c r="C33" s="33" t="s">
        <v>33</v>
      </c>
      <c r="D33" s="16">
        <v>7</v>
      </c>
      <c r="E33" s="16" t="s">
        <v>15</v>
      </c>
      <c r="F33" s="16">
        <v>3</v>
      </c>
      <c r="G33" s="16">
        <v>0</v>
      </c>
      <c r="H33" s="41">
        <f t="shared" si="0"/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</row>
    <row r="34" spans="1:16" x14ac:dyDescent="0.2">
      <c r="A34" s="38">
        <v>41521</v>
      </c>
      <c r="B34" s="1">
        <v>2</v>
      </c>
      <c r="C34" s="33" t="s">
        <v>33</v>
      </c>
      <c r="D34" s="16">
        <v>7</v>
      </c>
      <c r="E34" s="16" t="s">
        <v>15</v>
      </c>
      <c r="F34" s="16">
        <v>3</v>
      </c>
      <c r="G34" s="16">
        <v>0</v>
      </c>
      <c r="H34" s="41">
        <f t="shared" si="0"/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</row>
    <row r="35" spans="1:16" x14ac:dyDescent="0.2">
      <c r="A35" s="38">
        <v>41528</v>
      </c>
      <c r="B35" s="1">
        <v>3</v>
      </c>
      <c r="C35" s="33" t="s">
        <v>33</v>
      </c>
      <c r="D35" s="16">
        <v>7</v>
      </c>
      <c r="E35" s="16" t="s">
        <v>15</v>
      </c>
      <c r="F35" s="16">
        <v>3</v>
      </c>
      <c r="G35" s="16">
        <v>2</v>
      </c>
      <c r="H35" s="41">
        <f t="shared" si="0"/>
        <v>0.66666666666666663</v>
      </c>
      <c r="I35" s="16">
        <v>1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</row>
    <row r="36" spans="1:16" x14ac:dyDescent="0.2">
      <c r="A36" s="38">
        <v>41536</v>
      </c>
      <c r="B36" s="1">
        <v>4</v>
      </c>
      <c r="C36" s="33" t="s">
        <v>33</v>
      </c>
      <c r="D36" s="16">
        <v>7</v>
      </c>
      <c r="E36" s="16" t="s">
        <v>15</v>
      </c>
      <c r="F36" s="16">
        <v>3</v>
      </c>
      <c r="G36" s="16">
        <v>2</v>
      </c>
      <c r="H36" s="41">
        <f t="shared" ref="H36:H67" si="1">G36/F36</f>
        <v>0.66666666666666663</v>
      </c>
      <c r="I36" s="16">
        <v>0</v>
      </c>
      <c r="J36" s="16">
        <v>2</v>
      </c>
      <c r="K36" s="16">
        <v>4</v>
      </c>
      <c r="L36" s="16">
        <v>2</v>
      </c>
      <c r="M36" s="16">
        <v>0</v>
      </c>
      <c r="N36" s="16">
        <v>2</v>
      </c>
      <c r="O36" s="16">
        <v>2</v>
      </c>
      <c r="P36" s="16">
        <v>0</v>
      </c>
    </row>
    <row r="37" spans="1:16" x14ac:dyDescent="0.2">
      <c r="A37" s="38">
        <v>41544</v>
      </c>
      <c r="B37" s="1">
        <v>5</v>
      </c>
      <c r="C37" s="33" t="s">
        <v>33</v>
      </c>
      <c r="D37" s="16">
        <v>7</v>
      </c>
      <c r="E37" s="16" t="s">
        <v>15</v>
      </c>
      <c r="F37" s="16">
        <v>3</v>
      </c>
      <c r="G37" s="16">
        <v>0</v>
      </c>
      <c r="H37" s="41">
        <f t="shared" si="1"/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</row>
    <row r="38" spans="1:16" x14ac:dyDescent="0.2">
      <c r="A38" s="38">
        <v>41494</v>
      </c>
      <c r="B38" s="1" t="s">
        <v>127</v>
      </c>
      <c r="C38" s="33" t="s">
        <v>33</v>
      </c>
      <c r="D38" s="16">
        <v>7</v>
      </c>
      <c r="E38" s="16" t="s">
        <v>15</v>
      </c>
      <c r="F38" s="16">
        <v>3</v>
      </c>
      <c r="G38" s="16">
        <v>0</v>
      </c>
      <c r="H38" s="41">
        <f t="shared" si="1"/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</row>
    <row r="39" spans="1:16" x14ac:dyDescent="0.2">
      <c r="A39" s="38">
        <v>41514</v>
      </c>
      <c r="B39" s="1">
        <v>1</v>
      </c>
      <c r="C39" s="33" t="s">
        <v>34</v>
      </c>
      <c r="D39" s="16">
        <v>8</v>
      </c>
      <c r="E39" s="16" t="s">
        <v>16</v>
      </c>
      <c r="F39" s="16">
        <v>3</v>
      </c>
      <c r="G39" s="16">
        <v>1</v>
      </c>
      <c r="H39" s="41">
        <f t="shared" si="1"/>
        <v>0.33333333333333331</v>
      </c>
      <c r="I39" s="16">
        <v>4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</row>
    <row r="40" spans="1:16" x14ac:dyDescent="0.2">
      <c r="A40" s="38">
        <v>41521</v>
      </c>
      <c r="B40" s="1">
        <v>2</v>
      </c>
      <c r="C40" s="33" t="s">
        <v>34</v>
      </c>
      <c r="D40" s="16">
        <v>8</v>
      </c>
      <c r="E40" s="16" t="s">
        <v>16</v>
      </c>
      <c r="F40" s="16">
        <v>3</v>
      </c>
      <c r="G40" s="16">
        <v>1</v>
      </c>
      <c r="H40" s="41">
        <f t="shared" si="1"/>
        <v>0.33333333333333331</v>
      </c>
      <c r="I40" s="16">
        <v>7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</row>
    <row r="41" spans="1:16" x14ac:dyDescent="0.2">
      <c r="A41" s="38">
        <v>41528</v>
      </c>
      <c r="B41" s="1">
        <v>3</v>
      </c>
      <c r="C41" s="33" t="s">
        <v>34</v>
      </c>
      <c r="D41" s="16">
        <v>8</v>
      </c>
      <c r="E41" s="16" t="s">
        <v>16</v>
      </c>
      <c r="F41" s="16">
        <v>3</v>
      </c>
      <c r="G41" s="16">
        <v>12</v>
      </c>
      <c r="H41" s="41">
        <f t="shared" si="1"/>
        <v>4</v>
      </c>
      <c r="I41" s="16">
        <v>18</v>
      </c>
      <c r="J41" s="16">
        <v>1</v>
      </c>
      <c r="K41" s="16">
        <v>2</v>
      </c>
      <c r="L41" s="16">
        <v>0</v>
      </c>
      <c r="M41" s="16">
        <v>1</v>
      </c>
      <c r="N41" s="16">
        <v>1</v>
      </c>
      <c r="O41" s="16">
        <v>1</v>
      </c>
      <c r="P41" s="16">
        <v>0</v>
      </c>
    </row>
    <row r="42" spans="1:16" x14ac:dyDescent="0.2">
      <c r="A42" s="38">
        <v>41536</v>
      </c>
      <c r="B42" s="1">
        <v>4</v>
      </c>
      <c r="C42" s="33" t="s">
        <v>34</v>
      </c>
      <c r="D42" s="16">
        <v>8</v>
      </c>
      <c r="E42" s="16" t="s">
        <v>16</v>
      </c>
      <c r="F42" s="16">
        <v>3</v>
      </c>
      <c r="G42" s="16">
        <v>6</v>
      </c>
      <c r="H42" s="41">
        <f t="shared" si="1"/>
        <v>2</v>
      </c>
      <c r="I42" s="16">
        <v>0</v>
      </c>
      <c r="J42" s="16">
        <v>5</v>
      </c>
      <c r="K42" s="16">
        <v>10</v>
      </c>
      <c r="L42" s="16">
        <v>3</v>
      </c>
      <c r="M42" s="16">
        <v>2</v>
      </c>
      <c r="N42" s="16">
        <v>6</v>
      </c>
      <c r="O42" s="16">
        <v>4</v>
      </c>
      <c r="P42" s="16">
        <v>0</v>
      </c>
    </row>
    <row r="43" spans="1:16" x14ac:dyDescent="0.2">
      <c r="A43" s="38">
        <v>41544</v>
      </c>
      <c r="B43" s="1">
        <v>5</v>
      </c>
      <c r="C43" s="33" t="s">
        <v>34</v>
      </c>
      <c r="D43" s="16">
        <v>8</v>
      </c>
      <c r="E43" s="16" t="s">
        <v>16</v>
      </c>
      <c r="F43" s="16">
        <v>3</v>
      </c>
      <c r="G43" s="16">
        <v>0</v>
      </c>
      <c r="H43" s="41">
        <f t="shared" si="1"/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</row>
    <row r="44" spans="1:16" x14ac:dyDescent="0.2">
      <c r="A44" s="38">
        <v>41494</v>
      </c>
      <c r="B44" s="1" t="s">
        <v>127</v>
      </c>
      <c r="C44" s="33" t="s">
        <v>34</v>
      </c>
      <c r="D44" s="16">
        <v>8</v>
      </c>
      <c r="E44" s="16" t="s">
        <v>16</v>
      </c>
      <c r="F44" s="16">
        <v>3</v>
      </c>
      <c r="G44" s="16">
        <v>0</v>
      </c>
      <c r="H44" s="41">
        <f t="shared" si="1"/>
        <v>0</v>
      </c>
      <c r="I44" s="16">
        <v>0</v>
      </c>
      <c r="J44" s="16">
        <v>0</v>
      </c>
      <c r="K44" s="16">
        <v>1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</row>
    <row r="45" spans="1:16" x14ac:dyDescent="0.2">
      <c r="A45" s="38">
        <v>41528</v>
      </c>
      <c r="B45" s="1">
        <v>1</v>
      </c>
      <c r="C45" s="33" t="s">
        <v>35</v>
      </c>
      <c r="D45" s="16">
        <v>9</v>
      </c>
      <c r="E45" s="16" t="s">
        <v>17</v>
      </c>
      <c r="F45" s="16">
        <v>4</v>
      </c>
      <c r="G45" s="16">
        <v>3</v>
      </c>
      <c r="H45" s="41">
        <f t="shared" si="1"/>
        <v>0.75</v>
      </c>
      <c r="I45" s="16">
        <v>4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</row>
    <row r="46" spans="1:16" x14ac:dyDescent="0.2">
      <c r="A46" s="38">
        <v>41535</v>
      </c>
      <c r="B46" s="1">
        <v>2</v>
      </c>
      <c r="C46" s="33" t="s">
        <v>35</v>
      </c>
      <c r="D46" s="16">
        <v>9</v>
      </c>
      <c r="E46" s="16" t="s">
        <v>17</v>
      </c>
      <c r="F46" s="16">
        <v>4</v>
      </c>
      <c r="G46" s="16">
        <v>3</v>
      </c>
      <c r="H46" s="41">
        <f t="shared" si="1"/>
        <v>0.75</v>
      </c>
      <c r="I46" s="16">
        <v>4</v>
      </c>
      <c r="J46" s="16">
        <v>0</v>
      </c>
      <c r="K46" s="16">
        <v>1</v>
      </c>
      <c r="L46" s="16">
        <v>0</v>
      </c>
      <c r="M46" s="16">
        <v>0</v>
      </c>
      <c r="N46" s="16">
        <v>0</v>
      </c>
      <c r="O46" s="16">
        <v>1</v>
      </c>
      <c r="P46" s="16">
        <v>0</v>
      </c>
    </row>
    <row r="47" spans="1:16" x14ac:dyDescent="0.2">
      <c r="A47" s="38">
        <v>41543</v>
      </c>
      <c r="B47" s="1">
        <v>3</v>
      </c>
      <c r="C47" s="33" t="s">
        <v>35</v>
      </c>
      <c r="D47" s="16">
        <v>9</v>
      </c>
      <c r="E47" s="16" t="s">
        <v>17</v>
      </c>
      <c r="F47" s="16">
        <v>4</v>
      </c>
      <c r="G47" s="16">
        <v>1</v>
      </c>
      <c r="H47" s="41">
        <f t="shared" si="1"/>
        <v>0.25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</row>
    <row r="48" spans="1:16" x14ac:dyDescent="0.2">
      <c r="A48" s="38">
        <v>41528</v>
      </c>
      <c r="B48" s="1">
        <v>1</v>
      </c>
      <c r="C48" s="33" t="s">
        <v>36</v>
      </c>
      <c r="D48" s="16">
        <v>10</v>
      </c>
      <c r="E48" s="16" t="s">
        <v>18</v>
      </c>
      <c r="F48" s="16">
        <v>5</v>
      </c>
      <c r="G48" s="16">
        <v>2</v>
      </c>
      <c r="H48" s="41">
        <f t="shared" si="1"/>
        <v>0.4</v>
      </c>
      <c r="I48" s="16">
        <v>4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</row>
    <row r="49" spans="1:17" x14ac:dyDescent="0.2">
      <c r="A49" s="38">
        <v>41535</v>
      </c>
      <c r="B49" s="1">
        <v>2</v>
      </c>
      <c r="C49" s="33" t="s">
        <v>36</v>
      </c>
      <c r="D49" s="16">
        <v>10</v>
      </c>
      <c r="E49" s="16" t="s">
        <v>18</v>
      </c>
      <c r="F49" s="16">
        <v>5</v>
      </c>
      <c r="G49" s="16">
        <v>2</v>
      </c>
      <c r="H49" s="41">
        <f t="shared" si="1"/>
        <v>0.4</v>
      </c>
      <c r="I49" s="16">
        <v>5</v>
      </c>
      <c r="J49" s="16">
        <v>0</v>
      </c>
      <c r="K49" s="16">
        <v>1</v>
      </c>
      <c r="L49" s="16">
        <v>0</v>
      </c>
      <c r="M49" s="16">
        <v>0</v>
      </c>
      <c r="N49" s="16">
        <v>0</v>
      </c>
      <c r="O49" s="16">
        <v>1</v>
      </c>
      <c r="P49" s="16">
        <v>0</v>
      </c>
    </row>
    <row r="50" spans="1:17" x14ac:dyDescent="0.2">
      <c r="A50" s="38">
        <v>41543</v>
      </c>
      <c r="B50" s="1">
        <v>3</v>
      </c>
      <c r="C50" s="33" t="s">
        <v>36</v>
      </c>
      <c r="D50" s="16">
        <v>10</v>
      </c>
      <c r="E50" s="16" t="s">
        <v>18</v>
      </c>
      <c r="F50" s="16">
        <v>5</v>
      </c>
      <c r="G50" s="16">
        <v>0</v>
      </c>
      <c r="H50" s="41">
        <f t="shared" si="1"/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</row>
    <row r="51" spans="1:17" x14ac:dyDescent="0.2">
      <c r="A51" s="38">
        <v>41529</v>
      </c>
      <c r="B51" s="1">
        <v>1</v>
      </c>
      <c r="C51" s="33" t="s">
        <v>37</v>
      </c>
      <c r="D51" s="16">
        <v>11</v>
      </c>
      <c r="E51" s="16" t="s">
        <v>19</v>
      </c>
      <c r="F51" s="16">
        <v>4</v>
      </c>
      <c r="G51" s="16">
        <v>2</v>
      </c>
      <c r="H51" s="41">
        <f t="shared" si="1"/>
        <v>0.5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/>
    </row>
    <row r="52" spans="1:17" x14ac:dyDescent="0.2">
      <c r="A52" s="38">
        <v>41536</v>
      </c>
      <c r="B52" s="1">
        <v>2</v>
      </c>
      <c r="C52" s="33" t="s">
        <v>37</v>
      </c>
      <c r="D52" s="16">
        <v>11</v>
      </c>
      <c r="E52" s="16" t="s">
        <v>19</v>
      </c>
      <c r="F52" s="16">
        <v>4</v>
      </c>
      <c r="G52" s="16">
        <v>0</v>
      </c>
      <c r="H52" s="41">
        <f t="shared" si="1"/>
        <v>0</v>
      </c>
      <c r="I52" s="16">
        <v>0</v>
      </c>
      <c r="J52" s="16">
        <v>0</v>
      </c>
      <c r="K52" s="16">
        <v>1</v>
      </c>
      <c r="L52" s="16">
        <v>0</v>
      </c>
      <c r="M52" s="16">
        <v>0</v>
      </c>
      <c r="N52" s="16">
        <v>1</v>
      </c>
      <c r="O52" s="16">
        <v>0</v>
      </c>
      <c r="P52" s="16">
        <v>0</v>
      </c>
      <c r="Q52" s="16"/>
    </row>
    <row r="53" spans="1:17" x14ac:dyDescent="0.2">
      <c r="A53" s="38">
        <v>41544</v>
      </c>
      <c r="B53" s="1">
        <v>3</v>
      </c>
      <c r="C53" s="33" t="s">
        <v>37</v>
      </c>
      <c r="D53" s="16">
        <v>11</v>
      </c>
      <c r="E53" s="16" t="s">
        <v>19</v>
      </c>
      <c r="F53" s="16">
        <v>4</v>
      </c>
      <c r="G53" s="16">
        <v>1</v>
      </c>
      <c r="H53" s="41">
        <f t="shared" si="1"/>
        <v>0.25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/>
    </row>
    <row r="54" spans="1:17" x14ac:dyDescent="0.2">
      <c r="A54" s="38">
        <v>41529</v>
      </c>
      <c r="B54" s="1">
        <v>1</v>
      </c>
      <c r="C54" s="33" t="s">
        <v>38</v>
      </c>
      <c r="D54" s="16">
        <v>12</v>
      </c>
      <c r="E54" s="16" t="s">
        <v>20</v>
      </c>
      <c r="F54" s="16">
        <v>3</v>
      </c>
      <c r="G54" s="16">
        <v>0</v>
      </c>
      <c r="H54" s="41">
        <f t="shared" si="1"/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</row>
    <row r="55" spans="1:17" x14ac:dyDescent="0.2">
      <c r="A55" s="38">
        <v>41536</v>
      </c>
      <c r="B55" s="1">
        <v>2</v>
      </c>
      <c r="C55" s="33" t="s">
        <v>38</v>
      </c>
      <c r="D55" s="16">
        <v>12</v>
      </c>
      <c r="E55" s="16" t="s">
        <v>20</v>
      </c>
      <c r="F55" s="16">
        <v>3</v>
      </c>
      <c r="G55" s="16">
        <v>1</v>
      </c>
      <c r="H55" s="41">
        <f t="shared" si="1"/>
        <v>0.33333333333333331</v>
      </c>
      <c r="I55" s="16">
        <v>1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</row>
    <row r="56" spans="1:17" x14ac:dyDescent="0.2">
      <c r="A56" s="38">
        <v>41544</v>
      </c>
      <c r="B56" s="1">
        <v>3</v>
      </c>
      <c r="C56" s="33" t="s">
        <v>38</v>
      </c>
      <c r="D56" s="16">
        <v>12</v>
      </c>
      <c r="E56" s="16" t="s">
        <v>20</v>
      </c>
      <c r="F56" s="16">
        <v>3</v>
      </c>
      <c r="G56" s="16">
        <v>0</v>
      </c>
      <c r="H56" s="41">
        <f t="shared" si="1"/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</row>
    <row r="57" spans="1:17" x14ac:dyDescent="0.2">
      <c r="A57" s="38">
        <v>41555</v>
      </c>
      <c r="B57" s="1">
        <v>1</v>
      </c>
      <c r="C57" s="33" t="s">
        <v>124</v>
      </c>
      <c r="D57" s="16">
        <v>13</v>
      </c>
      <c r="E57" s="16" t="s">
        <v>21</v>
      </c>
      <c r="F57" s="16">
        <v>3</v>
      </c>
      <c r="G57" s="16">
        <v>0</v>
      </c>
      <c r="H57" s="41">
        <f t="shared" si="1"/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</row>
    <row r="58" spans="1:17" x14ac:dyDescent="0.2">
      <c r="A58" s="38">
        <v>41555</v>
      </c>
      <c r="B58" s="1">
        <v>1</v>
      </c>
      <c r="C58" s="33" t="s">
        <v>123</v>
      </c>
      <c r="D58" s="16">
        <v>14</v>
      </c>
      <c r="E58" s="16" t="s">
        <v>22</v>
      </c>
      <c r="F58" s="16">
        <v>3</v>
      </c>
      <c r="G58" s="16">
        <v>0</v>
      </c>
      <c r="H58" s="41">
        <f t="shared" si="1"/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</row>
    <row r="59" spans="1:17" x14ac:dyDescent="0.2">
      <c r="A59" s="38">
        <v>41558</v>
      </c>
      <c r="B59" s="40">
        <v>1</v>
      </c>
      <c r="C59" s="33" t="s">
        <v>40</v>
      </c>
      <c r="D59" s="16">
        <v>15</v>
      </c>
      <c r="E59" s="16" t="s">
        <v>125</v>
      </c>
      <c r="F59" s="16">
        <v>6</v>
      </c>
      <c r="G59" s="16">
        <v>0</v>
      </c>
      <c r="H59" s="41">
        <f t="shared" si="1"/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</row>
    <row r="60" spans="1:17" x14ac:dyDescent="0.2">
      <c r="A60" s="38">
        <v>41555</v>
      </c>
      <c r="B60" s="40">
        <v>1</v>
      </c>
      <c r="C60" s="16" t="s">
        <v>129</v>
      </c>
      <c r="D60" s="16">
        <v>16</v>
      </c>
      <c r="E60" s="16" t="s">
        <v>128</v>
      </c>
      <c r="F60" s="1">
        <v>6</v>
      </c>
      <c r="G60" s="16">
        <v>2</v>
      </c>
      <c r="H60" s="41">
        <f t="shared" si="1"/>
        <v>0.33333333333333331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</row>
    <row r="61" spans="1:17" x14ac:dyDescent="0.2">
      <c r="A61" s="38">
        <v>41555</v>
      </c>
      <c r="B61" s="40">
        <v>1</v>
      </c>
      <c r="C61" s="16" t="s">
        <v>131</v>
      </c>
      <c r="D61" s="16">
        <v>17</v>
      </c>
      <c r="E61" s="16" t="s">
        <v>130</v>
      </c>
      <c r="F61" s="1">
        <v>2</v>
      </c>
      <c r="G61" s="1">
        <v>0</v>
      </c>
      <c r="H61" s="41">
        <f t="shared" si="1"/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7" x14ac:dyDescent="0.2">
      <c r="A62" s="38">
        <v>41555</v>
      </c>
      <c r="B62" s="40">
        <v>1</v>
      </c>
      <c r="C62" s="16" t="s">
        <v>133</v>
      </c>
      <c r="D62" s="16">
        <v>18</v>
      </c>
      <c r="E62" s="16" t="s">
        <v>132</v>
      </c>
      <c r="F62" s="1">
        <v>3</v>
      </c>
      <c r="G62" s="1">
        <v>2</v>
      </c>
      <c r="H62" s="41">
        <f t="shared" si="1"/>
        <v>0.66666666666666663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7" x14ac:dyDescent="0.2">
      <c r="A63" s="38">
        <v>41555</v>
      </c>
      <c r="B63" s="40">
        <v>1</v>
      </c>
      <c r="C63" s="16" t="s">
        <v>143</v>
      </c>
      <c r="D63" s="16">
        <v>19</v>
      </c>
      <c r="E63" s="16" t="s">
        <v>141</v>
      </c>
      <c r="F63" s="1">
        <v>4</v>
      </c>
      <c r="G63" s="1">
        <v>0</v>
      </c>
      <c r="H63" s="41">
        <f t="shared" si="1"/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7" x14ac:dyDescent="0.2">
      <c r="A64" s="38">
        <v>41555</v>
      </c>
      <c r="B64" s="40">
        <v>1</v>
      </c>
      <c r="C64" s="16" t="s">
        <v>144</v>
      </c>
      <c r="D64" s="16">
        <v>20</v>
      </c>
      <c r="E64" s="16" t="s">
        <v>142</v>
      </c>
      <c r="F64" s="1">
        <v>4</v>
      </c>
      <c r="G64" s="1">
        <v>0</v>
      </c>
      <c r="H64" s="41">
        <f t="shared" si="1"/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7" x14ac:dyDescent="0.2">
      <c r="A65" s="38">
        <v>41548</v>
      </c>
      <c r="B65" s="40">
        <v>1</v>
      </c>
      <c r="C65" s="16" t="s">
        <v>136</v>
      </c>
      <c r="D65" s="16">
        <v>21</v>
      </c>
      <c r="E65" s="16" t="s">
        <v>134</v>
      </c>
      <c r="F65" s="1">
        <v>3</v>
      </c>
      <c r="G65" s="1">
        <v>0</v>
      </c>
      <c r="H65" s="41">
        <f t="shared" si="1"/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7" ht="13.5" thickBot="1" x14ac:dyDescent="0.25">
      <c r="A66" s="38">
        <v>41548</v>
      </c>
      <c r="B66" s="40">
        <v>1</v>
      </c>
      <c r="C66" s="16" t="s">
        <v>137</v>
      </c>
      <c r="D66" s="16">
        <v>22</v>
      </c>
      <c r="E66" s="16" t="s">
        <v>135</v>
      </c>
      <c r="F66" s="4">
        <v>4</v>
      </c>
      <c r="G66" s="4">
        <v>0</v>
      </c>
      <c r="H66" s="62">
        <f t="shared" si="1"/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</row>
    <row r="67" spans="1:17" x14ac:dyDescent="0.2">
      <c r="B67" s="40"/>
      <c r="E67" s="1"/>
      <c r="F67" s="2">
        <f>SUM(F4:F66)</f>
        <v>220</v>
      </c>
      <c r="G67" s="2">
        <f>SUM(G4:G66)</f>
        <v>64</v>
      </c>
      <c r="H67" s="65">
        <f t="shared" si="1"/>
        <v>0.29090909090909089</v>
      </c>
      <c r="I67" s="2">
        <f t="shared" ref="I67:P67" si="2">SUM(I4:I66)</f>
        <v>77</v>
      </c>
      <c r="J67" s="2">
        <f t="shared" si="2"/>
        <v>10</v>
      </c>
      <c r="K67" s="2">
        <f t="shared" si="2"/>
        <v>23</v>
      </c>
      <c r="L67" s="2">
        <f t="shared" si="2"/>
        <v>5</v>
      </c>
      <c r="M67" s="2">
        <f t="shared" si="2"/>
        <v>5</v>
      </c>
      <c r="N67" s="2">
        <f t="shared" si="2"/>
        <v>13</v>
      </c>
      <c r="O67" s="2">
        <f t="shared" si="2"/>
        <v>9</v>
      </c>
      <c r="P67" s="2">
        <f t="shared" si="2"/>
        <v>1</v>
      </c>
      <c r="Q67" s="1"/>
    </row>
    <row r="68" spans="1:17" x14ac:dyDescent="0.2">
      <c r="B68" s="1"/>
      <c r="E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">
      <c r="B69" s="1"/>
      <c r="E69" s="1"/>
    </row>
    <row r="70" spans="1:17" x14ac:dyDescent="0.2">
      <c r="B70" s="1"/>
      <c r="E70" s="1"/>
    </row>
    <row r="71" spans="1:17" x14ac:dyDescent="0.2">
      <c r="B71" s="1"/>
      <c r="E71" s="1"/>
    </row>
    <row r="72" spans="1:17" x14ac:dyDescent="0.2">
      <c r="E72" s="1"/>
    </row>
    <row r="73" spans="1:17" x14ac:dyDescent="0.2">
      <c r="E73" s="1"/>
    </row>
    <row r="74" spans="1:17" x14ac:dyDescent="0.2">
      <c r="E74" s="1"/>
    </row>
    <row r="75" spans="1:17" x14ac:dyDescent="0.2">
      <c r="E75" s="1"/>
    </row>
  </sheetData>
  <pageMargins left="0.7" right="0.7" top="0.75" bottom="0.75" header="0.3" footer="0.3"/>
  <pageSetup scale="70" orientation="landscape" r:id="rId1"/>
  <ignoredErrors>
    <ignoredError sqref="H67" formula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5"/>
  <sheetViews>
    <sheetView workbookViewId="0">
      <pane ySplit="3" topLeftCell="A27" activePane="bottomLeft" state="frozen"/>
      <selection pane="bottomLeft" activeCell="G55" sqref="G55:G59"/>
    </sheetView>
  </sheetViews>
  <sheetFormatPr defaultRowHeight="12.75" x14ac:dyDescent="0.2"/>
  <cols>
    <col min="1" max="1" width="11" customWidth="1"/>
    <col min="5" max="5" width="43.85546875" customWidth="1"/>
    <col min="16" max="16" width="13.5703125" customWidth="1"/>
  </cols>
  <sheetData>
    <row r="1" spans="1:16" x14ac:dyDescent="0.2">
      <c r="A1" s="2"/>
      <c r="B1" s="2"/>
      <c r="C1" s="2"/>
      <c r="D1" s="2"/>
      <c r="E1" s="2"/>
      <c r="F1" s="2" t="s">
        <v>4</v>
      </c>
      <c r="G1" s="2" t="s">
        <v>140</v>
      </c>
      <c r="H1" s="2" t="s">
        <v>3</v>
      </c>
      <c r="I1" s="3" t="s">
        <v>24</v>
      </c>
      <c r="J1" s="3"/>
      <c r="K1" s="3"/>
    </row>
    <row r="2" spans="1:16" x14ac:dyDescent="0.2">
      <c r="A2" s="2" t="s">
        <v>0</v>
      </c>
      <c r="B2" s="2" t="s">
        <v>1</v>
      </c>
      <c r="C2" s="2" t="s">
        <v>108</v>
      </c>
      <c r="D2" s="2" t="s">
        <v>113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  <c r="P2" s="21" t="s">
        <v>138</v>
      </c>
    </row>
    <row r="3" spans="1:16" ht="13.5" thickBot="1" x14ac:dyDescent="0.25">
      <c r="A3" s="1"/>
      <c r="D3" s="2" t="s">
        <v>114</v>
      </c>
      <c r="I3" s="1"/>
      <c r="J3" s="4" t="s">
        <v>6</v>
      </c>
      <c r="K3" s="4" t="s">
        <v>7</v>
      </c>
      <c r="L3" s="1" t="s">
        <v>109</v>
      </c>
      <c r="M3" s="21" t="s">
        <v>110</v>
      </c>
      <c r="N3" s="21" t="s">
        <v>111</v>
      </c>
      <c r="O3" s="21" t="s">
        <v>112</v>
      </c>
      <c r="P3" s="21" t="s">
        <v>139</v>
      </c>
    </row>
    <row r="4" spans="1:16" x14ac:dyDescent="0.2">
      <c r="A4" s="38">
        <v>41151</v>
      </c>
      <c r="B4" s="40">
        <v>1</v>
      </c>
      <c r="C4" s="16" t="s">
        <v>27</v>
      </c>
      <c r="D4" s="16">
        <v>1</v>
      </c>
      <c r="E4" s="16" t="s">
        <v>9</v>
      </c>
      <c r="F4" s="16">
        <v>6</v>
      </c>
      <c r="G4" s="1">
        <v>1</v>
      </c>
      <c r="H4" s="35">
        <f t="shared" ref="H4:H35" si="0">G4/F4</f>
        <v>0.16666666666666666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6" x14ac:dyDescent="0.2">
      <c r="A5" s="38">
        <v>41157</v>
      </c>
      <c r="B5" s="40">
        <v>2</v>
      </c>
      <c r="C5" s="16" t="s">
        <v>27</v>
      </c>
      <c r="D5" s="16">
        <v>1</v>
      </c>
      <c r="E5" s="16" t="s">
        <v>9</v>
      </c>
      <c r="F5" s="16">
        <v>6</v>
      </c>
      <c r="G5" s="1">
        <v>0</v>
      </c>
      <c r="H5" s="35">
        <f t="shared" si="0"/>
        <v>0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>
        <v>1</v>
      </c>
    </row>
    <row r="6" spans="1:16" x14ac:dyDescent="0.2">
      <c r="A6" s="38">
        <v>41164</v>
      </c>
      <c r="B6" s="40">
        <v>3</v>
      </c>
      <c r="C6" s="16" t="s">
        <v>27</v>
      </c>
      <c r="D6" s="16">
        <v>1</v>
      </c>
      <c r="E6" s="16" t="s">
        <v>9</v>
      </c>
      <c r="F6" s="16">
        <v>6</v>
      </c>
      <c r="G6" s="1">
        <v>0</v>
      </c>
      <c r="H6" s="35">
        <f t="shared" si="0"/>
        <v>0</v>
      </c>
      <c r="I6" s="1">
        <v>0</v>
      </c>
      <c r="J6" s="36">
        <v>0</v>
      </c>
      <c r="K6" s="36">
        <v>0</v>
      </c>
      <c r="L6" s="1">
        <v>0</v>
      </c>
      <c r="M6" s="1">
        <v>0</v>
      </c>
      <c r="N6" s="1">
        <v>0</v>
      </c>
      <c r="O6" s="1">
        <v>0</v>
      </c>
    </row>
    <row r="7" spans="1:16" x14ac:dyDescent="0.2">
      <c r="A7" s="38">
        <v>41171</v>
      </c>
      <c r="B7" s="40">
        <v>4</v>
      </c>
      <c r="C7" s="16" t="s">
        <v>27</v>
      </c>
      <c r="D7" s="16">
        <v>1</v>
      </c>
      <c r="E7" s="16" t="s">
        <v>9</v>
      </c>
      <c r="F7" s="16">
        <v>6</v>
      </c>
      <c r="G7" s="1">
        <v>0</v>
      </c>
      <c r="H7" s="35">
        <f t="shared" si="0"/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6" x14ac:dyDescent="0.2">
      <c r="A8" s="38">
        <v>41151</v>
      </c>
      <c r="B8" s="40">
        <v>1</v>
      </c>
      <c r="C8" s="16" t="s">
        <v>28</v>
      </c>
      <c r="D8" s="16">
        <v>2</v>
      </c>
      <c r="E8" s="16" t="s">
        <v>10</v>
      </c>
      <c r="F8" s="16">
        <v>3</v>
      </c>
      <c r="G8" s="1">
        <v>3</v>
      </c>
      <c r="H8" s="35">
        <f t="shared" si="0"/>
        <v>1</v>
      </c>
      <c r="I8" s="1">
        <v>5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6" x14ac:dyDescent="0.2">
      <c r="A9" s="38">
        <v>41157</v>
      </c>
      <c r="B9" s="40">
        <v>2</v>
      </c>
      <c r="C9" s="16" t="s">
        <v>28</v>
      </c>
      <c r="D9" s="16">
        <v>2</v>
      </c>
      <c r="E9" s="16" t="s">
        <v>10</v>
      </c>
      <c r="F9" s="16">
        <v>3</v>
      </c>
      <c r="G9" s="1">
        <v>5</v>
      </c>
      <c r="H9" s="35">
        <f t="shared" si="0"/>
        <v>1.6666666666666667</v>
      </c>
      <c r="I9" s="1">
        <v>4</v>
      </c>
      <c r="J9" s="1">
        <v>0</v>
      </c>
      <c r="K9" s="1">
        <v>2</v>
      </c>
      <c r="L9" s="1">
        <v>0</v>
      </c>
      <c r="M9" s="1">
        <v>0</v>
      </c>
      <c r="N9" s="1">
        <v>1</v>
      </c>
      <c r="O9" s="1">
        <v>1</v>
      </c>
    </row>
    <row r="10" spans="1:16" x14ac:dyDescent="0.2">
      <c r="A10" s="38">
        <v>41164</v>
      </c>
      <c r="B10" s="40">
        <v>3</v>
      </c>
      <c r="C10" s="16" t="s">
        <v>28</v>
      </c>
      <c r="D10" s="16">
        <v>2</v>
      </c>
      <c r="E10" s="16" t="s">
        <v>10</v>
      </c>
      <c r="F10" s="16">
        <v>3</v>
      </c>
      <c r="G10" s="1">
        <v>2</v>
      </c>
      <c r="H10" s="35">
        <f t="shared" si="0"/>
        <v>0.66666666666666663</v>
      </c>
      <c r="I10" s="1">
        <v>4</v>
      </c>
      <c r="J10" s="1">
        <v>0</v>
      </c>
      <c r="K10" s="1">
        <v>4</v>
      </c>
      <c r="L10" s="1">
        <v>0</v>
      </c>
      <c r="M10" s="1">
        <v>0</v>
      </c>
      <c r="N10" s="1">
        <v>0</v>
      </c>
      <c r="O10" s="1">
        <v>4</v>
      </c>
    </row>
    <row r="11" spans="1:16" x14ac:dyDescent="0.2">
      <c r="A11" s="38">
        <v>41171</v>
      </c>
      <c r="B11" s="40">
        <v>4</v>
      </c>
      <c r="C11" s="16" t="s">
        <v>28</v>
      </c>
      <c r="D11" s="16">
        <v>2</v>
      </c>
      <c r="E11" s="16" t="s">
        <v>10</v>
      </c>
      <c r="F11" s="16">
        <v>3</v>
      </c>
      <c r="G11" s="1">
        <v>0</v>
      </c>
      <c r="H11" s="35">
        <f t="shared" si="0"/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6" x14ac:dyDescent="0.2">
      <c r="A12" s="38">
        <v>41151</v>
      </c>
      <c r="B12" s="40">
        <v>1</v>
      </c>
      <c r="C12" s="16" t="s">
        <v>29</v>
      </c>
      <c r="D12" s="16">
        <v>3</v>
      </c>
      <c r="E12" s="16" t="s">
        <v>11</v>
      </c>
      <c r="F12" s="16">
        <v>2</v>
      </c>
      <c r="G12" s="1">
        <v>8</v>
      </c>
      <c r="H12" s="35">
        <f t="shared" si="0"/>
        <v>4</v>
      </c>
      <c r="I12" s="1">
        <v>5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6" x14ac:dyDescent="0.2">
      <c r="A13" s="38">
        <v>41157</v>
      </c>
      <c r="B13" s="40">
        <v>2</v>
      </c>
      <c r="C13" s="16" t="s">
        <v>29</v>
      </c>
      <c r="D13" s="16">
        <v>3</v>
      </c>
      <c r="E13" s="16" t="s">
        <v>11</v>
      </c>
      <c r="F13" s="16">
        <v>2</v>
      </c>
      <c r="G13" s="1">
        <v>3</v>
      </c>
      <c r="H13" s="35">
        <f t="shared" si="0"/>
        <v>1.5</v>
      </c>
      <c r="I13" s="1">
        <v>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spans="1:16" x14ac:dyDescent="0.2">
      <c r="A14" s="38">
        <v>41164</v>
      </c>
      <c r="B14" s="40">
        <v>3</v>
      </c>
      <c r="C14" s="16" t="s">
        <v>29</v>
      </c>
      <c r="D14" s="16">
        <v>3</v>
      </c>
      <c r="E14" s="16" t="s">
        <v>11</v>
      </c>
      <c r="F14" s="16">
        <v>2</v>
      </c>
      <c r="G14" s="1">
        <v>5</v>
      </c>
      <c r="H14" s="35">
        <f t="shared" si="0"/>
        <v>2.5</v>
      </c>
      <c r="I14" s="1">
        <v>7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 spans="1:16" x14ac:dyDescent="0.2">
      <c r="A15" s="38">
        <v>41171</v>
      </c>
      <c r="B15" s="40">
        <v>4</v>
      </c>
      <c r="C15" s="16" t="s">
        <v>29</v>
      </c>
      <c r="D15" s="16">
        <v>3</v>
      </c>
      <c r="E15" s="16" t="s">
        <v>11</v>
      </c>
      <c r="F15" s="16">
        <v>2</v>
      </c>
      <c r="G15" s="1">
        <v>3</v>
      </c>
      <c r="H15" s="35">
        <f t="shared" si="0"/>
        <v>1.5</v>
      </c>
      <c r="I15" s="1">
        <v>2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 spans="1:16" x14ac:dyDescent="0.2">
      <c r="A16" s="38">
        <v>41151</v>
      </c>
      <c r="B16" s="40">
        <v>1</v>
      </c>
      <c r="C16" s="16" t="s">
        <v>30</v>
      </c>
      <c r="D16" s="16">
        <v>4</v>
      </c>
      <c r="E16" s="16" t="s">
        <v>12</v>
      </c>
      <c r="F16" s="16">
        <v>5</v>
      </c>
      <c r="G16" s="1">
        <v>4</v>
      </c>
      <c r="H16" s="35">
        <f t="shared" si="0"/>
        <v>0.8</v>
      </c>
      <c r="I16" s="1">
        <v>2</v>
      </c>
      <c r="J16" s="1">
        <v>0</v>
      </c>
      <c r="K16" s="1">
        <v>1</v>
      </c>
      <c r="L16" s="1">
        <v>0</v>
      </c>
      <c r="M16" s="1">
        <v>0</v>
      </c>
      <c r="N16" s="1">
        <v>0</v>
      </c>
      <c r="O16" s="1">
        <v>1</v>
      </c>
    </row>
    <row r="17" spans="1:16" x14ac:dyDescent="0.2">
      <c r="A17" s="38">
        <v>41157</v>
      </c>
      <c r="B17" s="40">
        <v>2</v>
      </c>
      <c r="C17" s="16" t="s">
        <v>30</v>
      </c>
      <c r="D17" s="16">
        <v>4</v>
      </c>
      <c r="E17" s="16" t="s">
        <v>12</v>
      </c>
      <c r="F17" s="16">
        <v>5</v>
      </c>
      <c r="G17" s="1">
        <v>9</v>
      </c>
      <c r="H17" s="35">
        <f t="shared" si="0"/>
        <v>1.8</v>
      </c>
      <c r="I17" s="1">
        <v>8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6" x14ac:dyDescent="0.2">
      <c r="A18" s="38">
        <v>41166</v>
      </c>
      <c r="B18" s="40">
        <v>3</v>
      </c>
      <c r="C18" s="16" t="s">
        <v>30</v>
      </c>
      <c r="D18" s="16">
        <v>4</v>
      </c>
      <c r="E18" s="16" t="s">
        <v>12</v>
      </c>
      <c r="F18" s="16">
        <v>5</v>
      </c>
      <c r="G18" s="1">
        <v>4</v>
      </c>
      <c r="H18" s="35">
        <f t="shared" si="0"/>
        <v>0.8</v>
      </c>
      <c r="I18" s="1">
        <v>6</v>
      </c>
      <c r="J18" s="1">
        <v>2</v>
      </c>
      <c r="K18" s="1">
        <v>1</v>
      </c>
      <c r="L18" s="1">
        <v>1</v>
      </c>
      <c r="M18" s="1">
        <v>1</v>
      </c>
      <c r="N18" s="1">
        <v>0</v>
      </c>
      <c r="O18" s="1">
        <v>1</v>
      </c>
    </row>
    <row r="19" spans="1:16" x14ac:dyDescent="0.2">
      <c r="A19" s="38">
        <v>41172</v>
      </c>
      <c r="B19" s="40">
        <v>4</v>
      </c>
      <c r="C19" s="16" t="s">
        <v>30</v>
      </c>
      <c r="D19" s="16">
        <v>4</v>
      </c>
      <c r="E19" s="16" t="s">
        <v>12</v>
      </c>
      <c r="F19" s="16">
        <v>5</v>
      </c>
      <c r="G19" s="1">
        <v>0</v>
      </c>
      <c r="H19" s="35">
        <f t="shared" si="0"/>
        <v>0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1</v>
      </c>
      <c r="O19" s="1">
        <v>0</v>
      </c>
    </row>
    <row r="20" spans="1:16" x14ac:dyDescent="0.2">
      <c r="A20" s="38">
        <v>41151</v>
      </c>
      <c r="B20" s="40">
        <v>1</v>
      </c>
      <c r="C20" s="16" t="s">
        <v>31</v>
      </c>
      <c r="D20" s="16">
        <v>5</v>
      </c>
      <c r="E20" s="16" t="s">
        <v>13</v>
      </c>
      <c r="F20" s="16">
        <v>2</v>
      </c>
      <c r="G20" s="1">
        <v>0</v>
      </c>
      <c r="H20" s="35">
        <f t="shared" si="0"/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 spans="1:16" x14ac:dyDescent="0.2">
      <c r="A21" s="38">
        <v>41158</v>
      </c>
      <c r="B21" s="40">
        <v>2</v>
      </c>
      <c r="C21" s="16" t="s">
        <v>31</v>
      </c>
      <c r="D21" s="16">
        <v>5</v>
      </c>
      <c r="E21" s="16" t="s">
        <v>13</v>
      </c>
      <c r="F21" s="16">
        <v>2</v>
      </c>
      <c r="G21" s="1">
        <v>3</v>
      </c>
      <c r="H21" s="35">
        <f t="shared" si="0"/>
        <v>1.5</v>
      </c>
      <c r="I21" s="1">
        <v>4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spans="1:16" x14ac:dyDescent="0.2">
      <c r="A22" s="38">
        <v>41164</v>
      </c>
      <c r="B22" s="40">
        <v>3</v>
      </c>
      <c r="C22" s="16" t="s">
        <v>31</v>
      </c>
      <c r="D22" s="16">
        <v>5</v>
      </c>
      <c r="E22" s="16" t="s">
        <v>13</v>
      </c>
      <c r="F22" s="16">
        <v>2</v>
      </c>
      <c r="G22" s="1">
        <v>1</v>
      </c>
      <c r="H22" s="35">
        <f t="shared" si="0"/>
        <v>0.5</v>
      </c>
      <c r="I22" s="1">
        <v>3</v>
      </c>
      <c r="J22" s="1">
        <v>0</v>
      </c>
      <c r="K22" s="1">
        <v>1</v>
      </c>
      <c r="L22" s="1">
        <v>0</v>
      </c>
      <c r="M22" s="1">
        <v>0</v>
      </c>
      <c r="N22" s="1">
        <v>0</v>
      </c>
      <c r="O22" s="1">
        <v>1</v>
      </c>
    </row>
    <row r="23" spans="1:16" x14ac:dyDescent="0.2">
      <c r="A23" s="38">
        <v>41169</v>
      </c>
      <c r="B23" s="40">
        <v>4</v>
      </c>
      <c r="C23" s="16" t="s">
        <v>31</v>
      </c>
      <c r="D23" s="16">
        <v>5</v>
      </c>
      <c r="E23" s="16" t="s">
        <v>13</v>
      </c>
      <c r="F23" s="16">
        <v>2</v>
      </c>
      <c r="G23" s="1">
        <v>2</v>
      </c>
      <c r="H23" s="35">
        <f t="shared" si="0"/>
        <v>1</v>
      </c>
      <c r="I23" s="1">
        <v>1</v>
      </c>
      <c r="J23" s="1">
        <v>0</v>
      </c>
      <c r="K23" s="1">
        <v>2</v>
      </c>
      <c r="L23" s="1">
        <v>0</v>
      </c>
      <c r="M23" s="1">
        <v>0</v>
      </c>
      <c r="N23" s="1">
        <v>0</v>
      </c>
      <c r="O23" s="1">
        <v>2</v>
      </c>
    </row>
    <row r="24" spans="1:16" x14ac:dyDescent="0.2">
      <c r="A24" s="38">
        <v>41178</v>
      </c>
      <c r="B24" s="40">
        <v>5</v>
      </c>
      <c r="C24" s="16" t="s">
        <v>31</v>
      </c>
      <c r="D24" s="16">
        <v>5</v>
      </c>
      <c r="E24" s="16" t="s">
        <v>13</v>
      </c>
      <c r="F24" s="16">
        <v>2</v>
      </c>
      <c r="G24" s="1">
        <v>0</v>
      </c>
      <c r="H24" s="35">
        <f t="shared" si="0"/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 spans="1:16" x14ac:dyDescent="0.2">
      <c r="A25" s="37">
        <v>41124</v>
      </c>
      <c r="B25" s="40" t="s">
        <v>127</v>
      </c>
      <c r="C25" s="16" t="s">
        <v>31</v>
      </c>
      <c r="D25" s="16">
        <v>5</v>
      </c>
      <c r="E25" s="16" t="s">
        <v>13</v>
      </c>
      <c r="F25" s="16">
        <v>2</v>
      </c>
      <c r="G25" s="1">
        <v>0</v>
      </c>
      <c r="H25" s="35">
        <f t="shared" si="0"/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</row>
    <row r="26" spans="1:16" x14ac:dyDescent="0.2">
      <c r="A26" s="38">
        <v>41158</v>
      </c>
      <c r="B26" s="40">
        <v>2</v>
      </c>
      <c r="C26" s="16" t="s">
        <v>32</v>
      </c>
      <c r="D26" s="16">
        <v>6</v>
      </c>
      <c r="E26" s="16" t="s">
        <v>14</v>
      </c>
      <c r="F26" s="16">
        <v>4</v>
      </c>
      <c r="G26" s="1">
        <v>3</v>
      </c>
      <c r="H26" s="35">
        <f t="shared" si="0"/>
        <v>0.75</v>
      </c>
      <c r="I26" s="1">
        <v>8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6" x14ac:dyDescent="0.2">
      <c r="A27" s="38">
        <v>41164</v>
      </c>
      <c r="B27" s="40">
        <v>3</v>
      </c>
      <c r="C27" s="16" t="s">
        <v>32</v>
      </c>
      <c r="D27" s="16">
        <v>6</v>
      </c>
      <c r="E27" s="16" t="s">
        <v>14</v>
      </c>
      <c r="F27" s="16">
        <v>4</v>
      </c>
      <c r="G27" s="1">
        <v>7</v>
      </c>
      <c r="H27" s="35">
        <f t="shared" si="0"/>
        <v>1.75</v>
      </c>
      <c r="I27" s="1">
        <v>8</v>
      </c>
      <c r="J27" s="1">
        <v>2</v>
      </c>
      <c r="K27" s="1">
        <v>3</v>
      </c>
      <c r="L27" s="1">
        <v>1</v>
      </c>
      <c r="M27" s="1">
        <v>1</v>
      </c>
      <c r="N27" s="1">
        <v>3</v>
      </c>
      <c r="O27" s="1">
        <v>0</v>
      </c>
    </row>
    <row r="28" spans="1:16" x14ac:dyDescent="0.2">
      <c r="A28" s="38">
        <v>41169</v>
      </c>
      <c r="B28" s="40">
        <v>4</v>
      </c>
      <c r="C28" s="16" t="s">
        <v>32</v>
      </c>
      <c r="D28" s="16">
        <v>6</v>
      </c>
      <c r="E28" s="16" t="s">
        <v>14</v>
      </c>
      <c r="F28" s="16">
        <v>4</v>
      </c>
      <c r="G28" s="1">
        <v>4</v>
      </c>
      <c r="H28" s="35">
        <f t="shared" si="0"/>
        <v>1</v>
      </c>
      <c r="I28" s="1">
        <v>6</v>
      </c>
      <c r="J28" s="1">
        <v>3</v>
      </c>
      <c r="K28" s="1">
        <v>5</v>
      </c>
      <c r="L28" s="1">
        <v>0</v>
      </c>
      <c r="M28" s="1">
        <v>3</v>
      </c>
      <c r="N28" s="1">
        <v>3</v>
      </c>
      <c r="O28" s="1">
        <v>2</v>
      </c>
    </row>
    <row r="29" spans="1:16" x14ac:dyDescent="0.2">
      <c r="A29" s="38">
        <v>41178</v>
      </c>
      <c r="B29" s="40">
        <v>5</v>
      </c>
      <c r="C29" s="16" t="s">
        <v>32</v>
      </c>
      <c r="D29" s="16">
        <v>6</v>
      </c>
      <c r="E29" s="16" t="s">
        <v>14</v>
      </c>
      <c r="F29" s="16">
        <v>4</v>
      </c>
      <c r="G29" s="1">
        <v>0</v>
      </c>
      <c r="H29" s="35">
        <f t="shared" si="0"/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  <row r="30" spans="1:16" x14ac:dyDescent="0.2">
      <c r="A30" s="37">
        <v>41124</v>
      </c>
      <c r="B30" s="40" t="s">
        <v>127</v>
      </c>
      <c r="C30" s="16" t="s">
        <v>32</v>
      </c>
      <c r="D30" s="16">
        <v>6</v>
      </c>
      <c r="E30" s="16" t="s">
        <v>14</v>
      </c>
      <c r="F30" s="16">
        <v>4</v>
      </c>
      <c r="G30" s="1">
        <v>0</v>
      </c>
      <c r="H30" s="35">
        <f t="shared" si="0"/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</row>
    <row r="31" spans="1:16" x14ac:dyDescent="0.2">
      <c r="A31" s="38">
        <v>41152</v>
      </c>
      <c r="B31" s="40">
        <v>1</v>
      </c>
      <c r="C31" s="16" t="s">
        <v>33</v>
      </c>
      <c r="D31" s="16">
        <v>7</v>
      </c>
      <c r="E31" s="16" t="s">
        <v>15</v>
      </c>
      <c r="F31" s="16">
        <v>3</v>
      </c>
      <c r="G31" s="1">
        <v>4</v>
      </c>
      <c r="H31" s="35">
        <f t="shared" si="0"/>
        <v>1.3333333333333333</v>
      </c>
      <c r="I31" s="1">
        <v>1</v>
      </c>
      <c r="J31" s="1">
        <v>1</v>
      </c>
      <c r="K31" s="1">
        <v>0</v>
      </c>
      <c r="L31" s="1">
        <v>0</v>
      </c>
      <c r="M31" s="1">
        <v>1</v>
      </c>
      <c r="N31" s="1">
        <v>0</v>
      </c>
      <c r="O31" s="1">
        <v>0</v>
      </c>
    </row>
    <row r="32" spans="1:16" x14ac:dyDescent="0.2">
      <c r="A32" s="38">
        <v>41158</v>
      </c>
      <c r="B32" s="40">
        <v>2</v>
      </c>
      <c r="C32" s="16" t="s">
        <v>33</v>
      </c>
      <c r="D32" s="16">
        <v>7</v>
      </c>
      <c r="E32" s="16" t="s">
        <v>15</v>
      </c>
      <c r="F32" s="16">
        <v>3</v>
      </c>
      <c r="G32" s="1">
        <v>3</v>
      </c>
      <c r="H32" s="35">
        <f t="shared" si="0"/>
        <v>1</v>
      </c>
      <c r="I32" s="1">
        <v>5</v>
      </c>
      <c r="J32" s="1">
        <v>1</v>
      </c>
      <c r="K32" s="1">
        <v>0</v>
      </c>
      <c r="L32" s="1">
        <v>0</v>
      </c>
      <c r="M32" s="1">
        <v>1</v>
      </c>
      <c r="N32" s="1">
        <v>0</v>
      </c>
      <c r="O32" s="1">
        <v>0</v>
      </c>
      <c r="P32" s="1">
        <v>2</v>
      </c>
    </row>
    <row r="33" spans="1:16" x14ac:dyDescent="0.2">
      <c r="A33" s="38">
        <v>41164</v>
      </c>
      <c r="B33" s="40">
        <v>3</v>
      </c>
      <c r="C33" s="16" t="s">
        <v>33</v>
      </c>
      <c r="D33" s="16">
        <v>7</v>
      </c>
      <c r="E33" s="16" t="s">
        <v>15</v>
      </c>
      <c r="F33" s="16">
        <v>3</v>
      </c>
      <c r="G33" s="1">
        <v>4</v>
      </c>
      <c r="H33" s="35">
        <f t="shared" si="0"/>
        <v>1.3333333333333333</v>
      </c>
      <c r="I33" s="1">
        <v>8</v>
      </c>
      <c r="J33" s="1">
        <v>1</v>
      </c>
      <c r="K33" s="1">
        <v>0</v>
      </c>
      <c r="L33" s="1">
        <v>0</v>
      </c>
      <c r="M33" s="1">
        <v>1</v>
      </c>
      <c r="N33" s="1">
        <v>0</v>
      </c>
      <c r="O33" s="1">
        <v>0</v>
      </c>
      <c r="P33" s="1">
        <v>1</v>
      </c>
    </row>
    <row r="34" spans="1:16" x14ac:dyDescent="0.2">
      <c r="A34" s="38">
        <v>41171</v>
      </c>
      <c r="B34" s="40">
        <v>4</v>
      </c>
      <c r="C34" s="16" t="s">
        <v>33</v>
      </c>
      <c r="D34" s="16">
        <v>7</v>
      </c>
      <c r="E34" s="16" t="s">
        <v>15</v>
      </c>
      <c r="F34" s="16">
        <v>3</v>
      </c>
      <c r="G34" s="1">
        <v>6</v>
      </c>
      <c r="H34" s="35">
        <f t="shared" si="0"/>
        <v>2</v>
      </c>
      <c r="I34" s="1">
        <v>5</v>
      </c>
      <c r="J34" s="1">
        <v>2</v>
      </c>
      <c r="K34" s="1">
        <v>8</v>
      </c>
      <c r="L34" s="1">
        <v>0</v>
      </c>
      <c r="M34" s="1">
        <v>2</v>
      </c>
      <c r="N34" s="40">
        <v>1</v>
      </c>
      <c r="O34" s="1">
        <v>6</v>
      </c>
      <c r="P34" s="16" t="s">
        <v>153</v>
      </c>
    </row>
    <row r="35" spans="1:16" x14ac:dyDescent="0.2">
      <c r="A35" s="38">
        <v>41180</v>
      </c>
      <c r="B35" s="40">
        <v>5</v>
      </c>
      <c r="C35" s="16" t="s">
        <v>33</v>
      </c>
      <c r="D35" s="16">
        <v>7</v>
      </c>
      <c r="E35" s="16" t="s">
        <v>15</v>
      </c>
      <c r="F35" s="16">
        <v>3</v>
      </c>
      <c r="G35" s="1">
        <v>0</v>
      </c>
      <c r="H35" s="35">
        <f t="shared" si="0"/>
        <v>0</v>
      </c>
      <c r="I35" s="1">
        <v>0</v>
      </c>
      <c r="J35" s="1">
        <v>2</v>
      </c>
      <c r="K35" s="1">
        <v>0</v>
      </c>
      <c r="L35" s="1">
        <v>0</v>
      </c>
      <c r="M35" s="1">
        <v>2</v>
      </c>
      <c r="N35" s="1">
        <v>0</v>
      </c>
      <c r="O35" s="1">
        <v>0</v>
      </c>
      <c r="P35" s="1"/>
    </row>
    <row r="36" spans="1:16" x14ac:dyDescent="0.2">
      <c r="A36" s="37">
        <v>41116</v>
      </c>
      <c r="B36" s="40" t="s">
        <v>127</v>
      </c>
      <c r="C36" s="1" t="s">
        <v>33</v>
      </c>
      <c r="D36" s="16">
        <v>7</v>
      </c>
      <c r="E36" s="16" t="s">
        <v>15</v>
      </c>
      <c r="F36" s="1">
        <v>3</v>
      </c>
      <c r="G36" s="1">
        <v>0</v>
      </c>
      <c r="H36" s="35">
        <f t="shared" ref="H36:H65" si="1">G36/F36</f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</row>
    <row r="37" spans="1:16" x14ac:dyDescent="0.2">
      <c r="A37" s="37">
        <v>41138</v>
      </c>
      <c r="B37" s="40" t="s">
        <v>127</v>
      </c>
      <c r="C37" s="1" t="s">
        <v>33</v>
      </c>
      <c r="D37" s="16">
        <v>7</v>
      </c>
      <c r="E37" s="16" t="s">
        <v>15</v>
      </c>
      <c r="F37" s="1">
        <v>3</v>
      </c>
      <c r="G37" s="1">
        <v>0</v>
      </c>
      <c r="H37" s="35">
        <f t="shared" si="1"/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</row>
    <row r="38" spans="1:16" x14ac:dyDescent="0.2">
      <c r="A38" s="38">
        <v>41152</v>
      </c>
      <c r="B38" s="40">
        <v>1</v>
      </c>
      <c r="C38" s="16" t="s">
        <v>34</v>
      </c>
      <c r="D38" s="16">
        <v>8</v>
      </c>
      <c r="E38" s="16" t="s">
        <v>16</v>
      </c>
      <c r="F38" s="16">
        <v>3</v>
      </c>
      <c r="G38" s="1">
        <v>7</v>
      </c>
      <c r="H38" s="35">
        <f t="shared" si="1"/>
        <v>2.3333333333333335</v>
      </c>
      <c r="I38" s="1">
        <v>9</v>
      </c>
      <c r="J38" s="1">
        <v>0</v>
      </c>
      <c r="K38" s="1">
        <v>1</v>
      </c>
      <c r="L38" s="1">
        <v>0</v>
      </c>
      <c r="M38" s="1">
        <v>0</v>
      </c>
      <c r="N38" s="40">
        <v>1</v>
      </c>
      <c r="O38" s="1">
        <v>0</v>
      </c>
    </row>
    <row r="39" spans="1:16" x14ac:dyDescent="0.2">
      <c r="A39" s="38">
        <v>41158</v>
      </c>
      <c r="B39" s="40">
        <v>2</v>
      </c>
      <c r="C39" s="16" t="s">
        <v>34</v>
      </c>
      <c r="D39" s="16">
        <v>8</v>
      </c>
      <c r="E39" s="16" t="s">
        <v>16</v>
      </c>
      <c r="F39" s="16">
        <v>3</v>
      </c>
      <c r="G39" s="1">
        <v>20</v>
      </c>
      <c r="H39" s="35">
        <f t="shared" si="1"/>
        <v>6.666666666666667</v>
      </c>
      <c r="I39" s="1">
        <v>42</v>
      </c>
      <c r="J39" s="1">
        <v>5</v>
      </c>
      <c r="K39" s="1">
        <v>11</v>
      </c>
      <c r="L39" s="1">
        <v>1</v>
      </c>
      <c r="M39" s="1">
        <v>4</v>
      </c>
      <c r="N39" s="40">
        <v>4</v>
      </c>
      <c r="O39" s="1">
        <v>7</v>
      </c>
    </row>
    <row r="40" spans="1:16" x14ac:dyDescent="0.2">
      <c r="A40" s="38">
        <v>41164</v>
      </c>
      <c r="B40" s="40">
        <v>3</v>
      </c>
      <c r="C40" s="16" t="s">
        <v>34</v>
      </c>
      <c r="D40" s="16">
        <v>8</v>
      </c>
      <c r="E40" s="16" t="s">
        <v>16</v>
      </c>
      <c r="F40" s="16">
        <v>3</v>
      </c>
      <c r="G40" s="1">
        <v>17</v>
      </c>
      <c r="H40" s="35">
        <f t="shared" si="1"/>
        <v>5.666666666666667</v>
      </c>
      <c r="I40" s="1">
        <v>15</v>
      </c>
      <c r="J40" s="1">
        <v>4</v>
      </c>
      <c r="K40" s="1">
        <v>12</v>
      </c>
      <c r="L40" s="1">
        <v>1</v>
      </c>
      <c r="M40" s="1">
        <v>3</v>
      </c>
      <c r="N40" s="40">
        <v>3</v>
      </c>
      <c r="O40" s="1">
        <v>9</v>
      </c>
    </row>
    <row r="41" spans="1:16" x14ac:dyDescent="0.2">
      <c r="A41" s="38">
        <v>41171</v>
      </c>
      <c r="B41" s="40">
        <v>4</v>
      </c>
      <c r="C41" s="16" t="s">
        <v>34</v>
      </c>
      <c r="D41" s="16">
        <v>8</v>
      </c>
      <c r="E41" s="16" t="s">
        <v>16</v>
      </c>
      <c r="F41" s="16">
        <v>3</v>
      </c>
      <c r="G41" s="1">
        <v>12</v>
      </c>
      <c r="H41" s="35">
        <f t="shared" si="1"/>
        <v>4</v>
      </c>
      <c r="I41" s="1">
        <v>13</v>
      </c>
      <c r="J41" s="1">
        <v>12</v>
      </c>
      <c r="K41" s="1">
        <v>26</v>
      </c>
      <c r="L41" s="1">
        <v>6</v>
      </c>
      <c r="M41" s="1">
        <v>6</v>
      </c>
      <c r="N41" s="40">
        <v>13</v>
      </c>
      <c r="O41" s="1">
        <v>13</v>
      </c>
      <c r="P41" s="1">
        <v>2</v>
      </c>
    </row>
    <row r="42" spans="1:16" x14ac:dyDescent="0.2">
      <c r="A42" s="38">
        <v>41180</v>
      </c>
      <c r="B42" s="40">
        <v>5</v>
      </c>
      <c r="C42" s="16" t="s">
        <v>34</v>
      </c>
      <c r="D42" s="16">
        <v>8</v>
      </c>
      <c r="E42" s="16" t="s">
        <v>16</v>
      </c>
      <c r="F42" s="16">
        <v>3</v>
      </c>
      <c r="G42" s="1">
        <v>3</v>
      </c>
      <c r="H42" s="35">
        <f t="shared" si="1"/>
        <v>1</v>
      </c>
      <c r="I42" s="1">
        <v>0</v>
      </c>
      <c r="J42" s="1">
        <v>0</v>
      </c>
      <c r="K42" s="1">
        <v>2</v>
      </c>
      <c r="L42" s="1">
        <v>0</v>
      </c>
      <c r="M42" s="1">
        <v>0</v>
      </c>
      <c r="N42" s="1">
        <v>0</v>
      </c>
      <c r="O42" s="1">
        <v>2</v>
      </c>
      <c r="P42" s="1"/>
    </row>
    <row r="43" spans="1:16" x14ac:dyDescent="0.2">
      <c r="A43" s="37">
        <v>41116</v>
      </c>
      <c r="B43" s="40" t="s">
        <v>127</v>
      </c>
      <c r="C43" s="1" t="s">
        <v>34</v>
      </c>
      <c r="D43" s="16">
        <v>8</v>
      </c>
      <c r="E43" s="16" t="s">
        <v>16</v>
      </c>
      <c r="F43" s="16">
        <v>3</v>
      </c>
      <c r="G43" s="1">
        <v>0</v>
      </c>
      <c r="H43" s="35">
        <f t="shared" si="1"/>
        <v>0</v>
      </c>
      <c r="I43" s="1">
        <v>5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</row>
    <row r="44" spans="1:16" x14ac:dyDescent="0.2">
      <c r="A44" s="38">
        <v>41158</v>
      </c>
      <c r="B44" s="40">
        <v>1</v>
      </c>
      <c r="C44" s="16" t="s">
        <v>35</v>
      </c>
      <c r="D44" s="16">
        <v>9</v>
      </c>
      <c r="E44" s="16" t="s">
        <v>17</v>
      </c>
      <c r="F44" s="16">
        <v>4</v>
      </c>
      <c r="G44" s="1">
        <v>2</v>
      </c>
      <c r="H44" s="35">
        <f t="shared" si="1"/>
        <v>0.5</v>
      </c>
      <c r="I44" s="1">
        <v>2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</row>
    <row r="45" spans="1:16" x14ac:dyDescent="0.2">
      <c r="A45" s="38">
        <v>41164</v>
      </c>
      <c r="B45" s="40">
        <v>2</v>
      </c>
      <c r="C45" s="16" t="s">
        <v>35</v>
      </c>
      <c r="D45" s="16">
        <v>9</v>
      </c>
      <c r="E45" s="16" t="s">
        <v>17</v>
      </c>
      <c r="F45" s="16">
        <v>4</v>
      </c>
      <c r="G45" s="1">
        <v>3</v>
      </c>
      <c r="H45" s="35">
        <f t="shared" si="1"/>
        <v>0.75</v>
      </c>
      <c r="I45" s="1">
        <v>3</v>
      </c>
      <c r="J45" s="1">
        <v>1</v>
      </c>
      <c r="K45" s="1">
        <v>0</v>
      </c>
      <c r="L45" s="1">
        <v>1</v>
      </c>
      <c r="M45" s="1">
        <v>0</v>
      </c>
      <c r="N45" s="1">
        <v>0</v>
      </c>
      <c r="O45" s="1">
        <v>0</v>
      </c>
    </row>
    <row r="46" spans="1:16" x14ac:dyDescent="0.2">
      <c r="A46" s="38">
        <v>41171</v>
      </c>
      <c r="B46" s="40">
        <v>3</v>
      </c>
      <c r="C46" s="16" t="s">
        <v>35</v>
      </c>
      <c r="D46" s="16">
        <v>9</v>
      </c>
      <c r="E46" s="16" t="s">
        <v>17</v>
      </c>
      <c r="F46" s="16">
        <v>4</v>
      </c>
      <c r="G46" s="1">
        <v>5</v>
      </c>
      <c r="H46" s="35">
        <f t="shared" si="1"/>
        <v>1.25</v>
      </c>
      <c r="I46" s="1">
        <v>1</v>
      </c>
      <c r="J46" s="1">
        <v>0</v>
      </c>
      <c r="K46" s="1">
        <v>1</v>
      </c>
      <c r="L46" s="1">
        <v>0</v>
      </c>
      <c r="M46" s="1">
        <v>0</v>
      </c>
      <c r="N46" s="1">
        <v>0</v>
      </c>
      <c r="O46" s="1">
        <v>1</v>
      </c>
    </row>
    <row r="47" spans="1:16" x14ac:dyDescent="0.2">
      <c r="A47" s="38">
        <v>41180</v>
      </c>
      <c r="B47" s="40">
        <v>4</v>
      </c>
      <c r="C47" s="16" t="s">
        <v>35</v>
      </c>
      <c r="D47" s="16">
        <v>9</v>
      </c>
      <c r="E47" s="16" t="s">
        <v>17</v>
      </c>
      <c r="F47" s="16">
        <v>4</v>
      </c>
      <c r="G47" s="1">
        <v>0</v>
      </c>
      <c r="H47" s="35">
        <f t="shared" si="1"/>
        <v>0</v>
      </c>
      <c r="I47" s="1">
        <v>0</v>
      </c>
      <c r="J47" s="1">
        <v>0</v>
      </c>
      <c r="K47" s="1">
        <v>1</v>
      </c>
      <c r="L47" s="1">
        <v>0</v>
      </c>
      <c r="M47" s="1">
        <v>0</v>
      </c>
      <c r="N47" s="1">
        <v>0</v>
      </c>
      <c r="O47" s="1">
        <v>1</v>
      </c>
    </row>
    <row r="48" spans="1:16" x14ac:dyDescent="0.2">
      <c r="A48" s="38">
        <v>41156</v>
      </c>
      <c r="B48" s="40">
        <v>1</v>
      </c>
      <c r="C48" s="16" t="s">
        <v>36</v>
      </c>
      <c r="D48" s="16">
        <v>10</v>
      </c>
      <c r="E48" s="16" t="s">
        <v>18</v>
      </c>
      <c r="F48" s="16">
        <v>5</v>
      </c>
      <c r="G48" s="1">
        <v>0</v>
      </c>
      <c r="H48" s="35">
        <f t="shared" si="1"/>
        <v>0</v>
      </c>
      <c r="I48" s="1">
        <v>0</v>
      </c>
      <c r="J48" s="1">
        <v>1</v>
      </c>
      <c r="K48" s="1">
        <v>0</v>
      </c>
      <c r="L48" s="1">
        <v>0</v>
      </c>
      <c r="M48" s="1">
        <v>1</v>
      </c>
      <c r="N48" s="1">
        <v>0</v>
      </c>
      <c r="O48" s="1">
        <v>0</v>
      </c>
    </row>
    <row r="49" spans="1:16" x14ac:dyDescent="0.2">
      <c r="A49" s="38">
        <v>41169</v>
      </c>
      <c r="B49" s="40">
        <v>2</v>
      </c>
      <c r="C49" s="16" t="s">
        <v>36</v>
      </c>
      <c r="D49" s="16">
        <v>10</v>
      </c>
      <c r="E49" s="16" t="s">
        <v>18</v>
      </c>
      <c r="F49" s="16">
        <v>5</v>
      </c>
      <c r="G49" s="1">
        <v>7</v>
      </c>
      <c r="H49" s="35">
        <f t="shared" si="1"/>
        <v>1.4</v>
      </c>
      <c r="I49" s="1">
        <v>0</v>
      </c>
      <c r="J49" s="1">
        <v>0</v>
      </c>
      <c r="K49" s="1">
        <v>2</v>
      </c>
      <c r="L49" s="1">
        <v>0</v>
      </c>
      <c r="M49" s="1">
        <v>0</v>
      </c>
      <c r="N49" s="1">
        <v>1</v>
      </c>
      <c r="O49" s="1">
        <v>0</v>
      </c>
      <c r="P49" s="1" t="s">
        <v>153</v>
      </c>
    </row>
    <row r="50" spans="1:16" x14ac:dyDescent="0.2">
      <c r="A50" s="38">
        <v>41186</v>
      </c>
      <c r="B50" s="40">
        <v>3</v>
      </c>
      <c r="C50" s="16" t="s">
        <v>36</v>
      </c>
      <c r="D50" s="16">
        <v>10</v>
      </c>
      <c r="E50" s="16" t="s">
        <v>18</v>
      </c>
      <c r="F50" s="16">
        <v>5</v>
      </c>
      <c r="G50" s="1">
        <v>1</v>
      </c>
      <c r="H50" s="35">
        <f t="shared" si="1"/>
        <v>0.2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/>
    </row>
    <row r="51" spans="1:16" x14ac:dyDescent="0.2">
      <c r="A51" s="38">
        <v>41169</v>
      </c>
      <c r="B51" s="40">
        <v>1</v>
      </c>
      <c r="C51" s="16" t="s">
        <v>37</v>
      </c>
      <c r="D51" s="16">
        <v>11</v>
      </c>
      <c r="E51" s="16" t="s">
        <v>19</v>
      </c>
      <c r="F51" s="16">
        <v>4</v>
      </c>
      <c r="G51" s="1">
        <v>0</v>
      </c>
      <c r="H51" s="35">
        <f t="shared" si="1"/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</row>
    <row r="52" spans="1:16" x14ac:dyDescent="0.2">
      <c r="A52" s="38">
        <v>41172</v>
      </c>
      <c r="B52" s="40">
        <v>2</v>
      </c>
      <c r="C52" s="16" t="s">
        <v>37</v>
      </c>
      <c r="D52" s="16">
        <v>11</v>
      </c>
      <c r="E52" s="16" t="s">
        <v>19</v>
      </c>
      <c r="F52" s="16">
        <v>4</v>
      </c>
      <c r="G52" s="1">
        <v>1</v>
      </c>
      <c r="H52" s="35">
        <f t="shared" si="1"/>
        <v>0.25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</row>
    <row r="53" spans="1:16" x14ac:dyDescent="0.2">
      <c r="A53" s="38">
        <v>41186</v>
      </c>
      <c r="B53" s="40">
        <v>3</v>
      </c>
      <c r="C53" s="16" t="s">
        <v>37</v>
      </c>
      <c r="D53" s="16">
        <v>11</v>
      </c>
      <c r="E53" s="16" t="s">
        <v>19</v>
      </c>
      <c r="F53" s="16">
        <v>4</v>
      </c>
      <c r="G53" s="1">
        <v>1</v>
      </c>
      <c r="H53" s="35">
        <f t="shared" si="1"/>
        <v>0.25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</row>
    <row r="54" spans="1:16" x14ac:dyDescent="0.2">
      <c r="A54" s="38">
        <v>41172</v>
      </c>
      <c r="B54" s="40">
        <v>1</v>
      </c>
      <c r="C54" s="16" t="s">
        <v>38</v>
      </c>
      <c r="D54" s="16">
        <v>12</v>
      </c>
      <c r="E54" s="16" t="s">
        <v>20</v>
      </c>
      <c r="F54" s="16">
        <v>3</v>
      </c>
      <c r="G54" s="1">
        <v>3</v>
      </c>
      <c r="H54" s="35">
        <f t="shared" si="1"/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</row>
    <row r="55" spans="1:16" x14ac:dyDescent="0.2">
      <c r="A55" s="38">
        <v>41172</v>
      </c>
      <c r="B55" s="40">
        <v>1</v>
      </c>
      <c r="C55" s="16" t="s">
        <v>124</v>
      </c>
      <c r="D55" s="16">
        <v>13</v>
      </c>
      <c r="E55" s="16" t="s">
        <v>21</v>
      </c>
      <c r="F55" s="16">
        <v>3</v>
      </c>
      <c r="G55" s="1">
        <v>0</v>
      </c>
      <c r="H55" s="35">
        <f t="shared" si="1"/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</row>
    <row r="56" spans="1:16" x14ac:dyDescent="0.2">
      <c r="A56" s="38">
        <v>41172</v>
      </c>
      <c r="B56" s="40">
        <v>1</v>
      </c>
      <c r="C56" s="16" t="s">
        <v>123</v>
      </c>
      <c r="D56" s="16">
        <v>14</v>
      </c>
      <c r="E56" s="16" t="s">
        <v>22</v>
      </c>
      <c r="F56" s="16">
        <v>3</v>
      </c>
      <c r="G56" s="1">
        <v>0</v>
      </c>
      <c r="H56" s="35">
        <f t="shared" si="1"/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</row>
    <row r="57" spans="1:16" x14ac:dyDescent="0.2">
      <c r="A57" s="38">
        <v>41191</v>
      </c>
      <c r="B57" s="40">
        <v>1</v>
      </c>
      <c r="C57" s="33" t="s">
        <v>40</v>
      </c>
      <c r="D57" s="33">
        <v>15</v>
      </c>
      <c r="E57" s="33" t="s">
        <v>126</v>
      </c>
      <c r="F57" s="33">
        <v>6</v>
      </c>
      <c r="G57" s="1">
        <v>0</v>
      </c>
      <c r="H57" s="35">
        <f t="shared" si="1"/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</row>
    <row r="58" spans="1:16" x14ac:dyDescent="0.2">
      <c r="A58" s="38">
        <v>41192</v>
      </c>
      <c r="B58" s="40">
        <v>1</v>
      </c>
      <c r="C58" s="16" t="s">
        <v>129</v>
      </c>
      <c r="D58" s="16">
        <v>16</v>
      </c>
      <c r="E58" s="16" t="s">
        <v>128</v>
      </c>
      <c r="F58" s="1">
        <v>6</v>
      </c>
      <c r="G58" s="1">
        <v>2</v>
      </c>
      <c r="H58" s="35">
        <f t="shared" si="1"/>
        <v>0.33333333333333331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</row>
    <row r="59" spans="1:16" x14ac:dyDescent="0.2">
      <c r="A59" s="38">
        <v>41192</v>
      </c>
      <c r="B59" s="40">
        <v>1</v>
      </c>
      <c r="C59" s="16" t="s">
        <v>131</v>
      </c>
      <c r="D59" s="16">
        <v>17</v>
      </c>
      <c r="E59" s="16" t="s">
        <v>130</v>
      </c>
      <c r="F59" s="1">
        <v>2</v>
      </c>
      <c r="G59" s="1">
        <v>0</v>
      </c>
      <c r="H59" s="35">
        <f t="shared" si="1"/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</row>
    <row r="60" spans="1:16" x14ac:dyDescent="0.2">
      <c r="A60" s="38">
        <v>41192</v>
      </c>
      <c r="B60" s="40">
        <v>1</v>
      </c>
      <c r="C60" s="16" t="s">
        <v>133</v>
      </c>
      <c r="D60" s="16">
        <v>18</v>
      </c>
      <c r="E60" s="16" t="s">
        <v>132</v>
      </c>
      <c r="F60" s="1">
        <v>3</v>
      </c>
      <c r="G60" s="1">
        <v>0</v>
      </c>
      <c r="H60" s="35">
        <f t="shared" si="1"/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</row>
    <row r="61" spans="1:16" x14ac:dyDescent="0.2">
      <c r="A61" s="38">
        <v>41193</v>
      </c>
      <c r="B61" s="40">
        <v>1</v>
      </c>
      <c r="C61" s="16" t="s">
        <v>143</v>
      </c>
      <c r="D61" s="16">
        <v>19</v>
      </c>
      <c r="E61" s="16" t="s">
        <v>141</v>
      </c>
      <c r="F61" s="1">
        <v>4</v>
      </c>
      <c r="G61" s="1">
        <v>0</v>
      </c>
      <c r="H61" s="35">
        <f t="shared" si="1"/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</row>
    <row r="62" spans="1:16" x14ac:dyDescent="0.2">
      <c r="A62" s="38">
        <v>41193</v>
      </c>
      <c r="B62" s="40">
        <v>1</v>
      </c>
      <c r="C62" s="16" t="s">
        <v>144</v>
      </c>
      <c r="D62" s="16">
        <v>20</v>
      </c>
      <c r="E62" s="16" t="s">
        <v>142</v>
      </c>
      <c r="F62" s="1">
        <v>4</v>
      </c>
      <c r="G62" s="1">
        <v>1</v>
      </c>
      <c r="H62" s="35">
        <f t="shared" si="1"/>
        <v>0.25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</row>
    <row r="63" spans="1:16" x14ac:dyDescent="0.2">
      <c r="A63" s="38">
        <v>41190</v>
      </c>
      <c r="B63" s="40">
        <v>1</v>
      </c>
      <c r="C63" s="16" t="s">
        <v>136</v>
      </c>
      <c r="D63" s="16">
        <v>21</v>
      </c>
      <c r="E63" s="16" t="s">
        <v>134</v>
      </c>
      <c r="F63" s="1">
        <v>3</v>
      </c>
      <c r="G63" s="1">
        <v>0</v>
      </c>
      <c r="H63" s="35">
        <f t="shared" si="1"/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</row>
    <row r="64" spans="1:16" ht="13.5" thickBot="1" x14ac:dyDescent="0.25">
      <c r="A64" s="38">
        <v>41193</v>
      </c>
      <c r="B64" s="40">
        <v>1</v>
      </c>
      <c r="C64" s="16" t="s">
        <v>137</v>
      </c>
      <c r="D64" s="16">
        <v>22</v>
      </c>
      <c r="E64" s="16" t="s">
        <v>135</v>
      </c>
      <c r="F64" s="4">
        <v>4</v>
      </c>
      <c r="G64" s="4">
        <v>0</v>
      </c>
      <c r="H64" s="66">
        <f t="shared" si="1"/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67"/>
    </row>
    <row r="65" spans="2:16" x14ac:dyDescent="0.2">
      <c r="B65" s="40"/>
      <c r="F65" s="2">
        <f>SUM(F4:F64)</f>
        <v>219</v>
      </c>
      <c r="G65" s="2">
        <f>SUM(G4:G64)</f>
        <v>169</v>
      </c>
      <c r="H65" s="64">
        <f t="shared" si="1"/>
        <v>0.77168949771689499</v>
      </c>
      <c r="I65" s="2">
        <f t="shared" ref="I65:O65" si="2">SUM(I4:I64)</f>
        <v>190</v>
      </c>
      <c r="J65" s="2">
        <f t="shared" si="2"/>
        <v>37</v>
      </c>
      <c r="K65" s="2">
        <f t="shared" si="2"/>
        <v>85</v>
      </c>
      <c r="L65" s="2">
        <f t="shared" si="2"/>
        <v>11</v>
      </c>
      <c r="M65" s="2">
        <f t="shared" si="2"/>
        <v>26</v>
      </c>
      <c r="N65" s="2">
        <f t="shared" si="2"/>
        <v>31</v>
      </c>
      <c r="O65" s="2">
        <f t="shared" si="2"/>
        <v>52</v>
      </c>
      <c r="P65" s="2">
        <v>7</v>
      </c>
    </row>
  </sheetData>
  <pageMargins left="0.7" right="0.7" top="0.75" bottom="0.75" header="0.3" footer="0.3"/>
  <pageSetup orientation="portrait" r:id="rId1"/>
  <ignoredErrors>
    <ignoredError sqref="H65" formula="1"/>
  </ignoredError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0"/>
  <sheetViews>
    <sheetView workbookViewId="0">
      <pane ySplit="3" topLeftCell="A19" activePane="bottomLeft" state="frozen"/>
      <selection pane="bottomLeft" activeCell="G51" sqref="G51:G55"/>
    </sheetView>
  </sheetViews>
  <sheetFormatPr defaultRowHeight="12.75" x14ac:dyDescent="0.2"/>
  <cols>
    <col min="1" max="1" width="10.140625" bestFit="1" customWidth="1"/>
    <col min="4" max="4" width="9.85546875" customWidth="1"/>
    <col min="5" max="5" width="39.42578125" customWidth="1"/>
    <col min="10" max="10" width="10" customWidth="1"/>
    <col min="11" max="11" width="9.42578125" customWidth="1"/>
  </cols>
  <sheetData>
    <row r="1" spans="1:15" x14ac:dyDescent="0.2">
      <c r="A1" s="2"/>
      <c r="B1" s="2"/>
      <c r="C1" s="2"/>
      <c r="D1" s="2"/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5" x14ac:dyDescent="0.2">
      <c r="A2" s="2" t="s">
        <v>0</v>
      </c>
      <c r="B2" s="2" t="s">
        <v>1</v>
      </c>
      <c r="C2" s="2" t="s">
        <v>108</v>
      </c>
      <c r="D2" s="2" t="s">
        <v>113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5" ht="13.5" thickBot="1" x14ac:dyDescent="0.25">
      <c r="A3" s="1"/>
      <c r="D3" s="2" t="s">
        <v>114</v>
      </c>
      <c r="I3" s="1"/>
      <c r="J3" s="4" t="s">
        <v>6</v>
      </c>
      <c r="K3" s="4" t="s">
        <v>7</v>
      </c>
      <c r="L3" s="1" t="s">
        <v>109</v>
      </c>
      <c r="M3" s="21" t="s">
        <v>110</v>
      </c>
      <c r="N3" s="21" t="s">
        <v>111</v>
      </c>
      <c r="O3" s="21" t="s">
        <v>112</v>
      </c>
    </row>
    <row r="4" spans="1:15" x14ac:dyDescent="0.2">
      <c r="A4" s="38">
        <v>40798</v>
      </c>
      <c r="B4">
        <v>1</v>
      </c>
      <c r="C4" s="16" t="s">
        <v>118</v>
      </c>
      <c r="D4" s="16" t="s">
        <v>116</v>
      </c>
      <c r="E4" s="16" t="s">
        <v>117</v>
      </c>
      <c r="F4" s="16">
        <v>2</v>
      </c>
      <c r="G4" s="1">
        <v>1</v>
      </c>
      <c r="H4" s="39">
        <f t="shared" ref="H4:H35" si="0">G4/F4</f>
        <v>0.5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 x14ac:dyDescent="0.2">
      <c r="A5" s="38">
        <v>40786</v>
      </c>
      <c r="B5">
        <v>1</v>
      </c>
      <c r="C5" s="16" t="s">
        <v>27</v>
      </c>
      <c r="D5" s="16">
        <v>1</v>
      </c>
      <c r="E5" s="16" t="s">
        <v>9</v>
      </c>
      <c r="F5" s="16">
        <v>6</v>
      </c>
      <c r="G5" s="16">
        <v>0</v>
      </c>
      <c r="H5" s="39">
        <f t="shared" si="0"/>
        <v>0</v>
      </c>
      <c r="I5" s="1">
        <v>2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</row>
    <row r="6" spans="1:15" x14ac:dyDescent="0.2">
      <c r="A6" s="38">
        <v>40793</v>
      </c>
      <c r="B6">
        <v>2</v>
      </c>
      <c r="C6" s="16" t="s">
        <v>27</v>
      </c>
      <c r="D6" s="16">
        <v>1</v>
      </c>
      <c r="E6" s="16" t="s">
        <v>9</v>
      </c>
      <c r="F6" s="16">
        <v>6</v>
      </c>
      <c r="G6" s="16">
        <v>1</v>
      </c>
      <c r="H6" s="39">
        <f t="shared" si="0"/>
        <v>0.16666666666666666</v>
      </c>
      <c r="I6" s="1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</row>
    <row r="7" spans="1:15" x14ac:dyDescent="0.2">
      <c r="A7" s="38">
        <v>40802</v>
      </c>
      <c r="B7">
        <v>3</v>
      </c>
      <c r="C7" s="16" t="s">
        <v>27</v>
      </c>
      <c r="D7" s="16">
        <v>1</v>
      </c>
      <c r="E7" s="16" t="s">
        <v>9</v>
      </c>
      <c r="F7" s="16">
        <v>6</v>
      </c>
      <c r="G7" s="16">
        <v>8</v>
      </c>
      <c r="H7" s="39">
        <f t="shared" si="0"/>
        <v>1.3333333333333333</v>
      </c>
      <c r="I7" s="1">
        <v>0</v>
      </c>
      <c r="J7" s="16">
        <v>0</v>
      </c>
      <c r="K7" s="16">
        <v>2</v>
      </c>
      <c r="L7" s="16">
        <v>0</v>
      </c>
      <c r="M7" s="16">
        <v>0</v>
      </c>
      <c r="N7" s="16">
        <v>0</v>
      </c>
      <c r="O7" s="16">
        <v>2</v>
      </c>
    </row>
    <row r="8" spans="1:15" x14ac:dyDescent="0.2">
      <c r="A8" s="38">
        <v>40786</v>
      </c>
      <c r="B8">
        <v>1</v>
      </c>
      <c r="C8" s="16" t="s">
        <v>28</v>
      </c>
      <c r="D8" s="16">
        <v>2</v>
      </c>
      <c r="E8" s="16" t="s">
        <v>10</v>
      </c>
      <c r="F8" s="16">
        <v>3</v>
      </c>
      <c r="G8" s="16">
        <v>17</v>
      </c>
      <c r="H8" s="39">
        <f t="shared" si="0"/>
        <v>5.666666666666667</v>
      </c>
      <c r="I8" s="16">
        <v>24</v>
      </c>
      <c r="J8" s="1">
        <v>0</v>
      </c>
      <c r="K8" s="1">
        <v>3</v>
      </c>
      <c r="L8" s="1">
        <v>0</v>
      </c>
      <c r="M8" s="1">
        <v>0</v>
      </c>
      <c r="N8" s="1">
        <v>1</v>
      </c>
      <c r="O8" s="1">
        <v>2</v>
      </c>
    </row>
    <row r="9" spans="1:15" x14ac:dyDescent="0.2">
      <c r="A9" s="38">
        <v>40793</v>
      </c>
      <c r="B9">
        <v>2</v>
      </c>
      <c r="C9" s="16" t="s">
        <v>28</v>
      </c>
      <c r="D9" s="16">
        <v>2</v>
      </c>
      <c r="E9" s="16" t="s">
        <v>10</v>
      </c>
      <c r="F9" s="16">
        <v>3</v>
      </c>
      <c r="G9" s="16">
        <v>7</v>
      </c>
      <c r="H9" s="39">
        <f t="shared" si="0"/>
        <v>2.3333333333333335</v>
      </c>
      <c r="I9" s="16">
        <v>14</v>
      </c>
      <c r="J9" s="1">
        <v>0</v>
      </c>
      <c r="K9" s="1">
        <v>14</v>
      </c>
      <c r="L9" s="1">
        <v>0</v>
      </c>
      <c r="M9" s="1">
        <v>0</v>
      </c>
      <c r="N9" s="1">
        <v>6</v>
      </c>
      <c r="O9" s="1">
        <v>8</v>
      </c>
    </row>
    <row r="10" spans="1:15" x14ac:dyDescent="0.2">
      <c r="A10" s="38">
        <v>40802</v>
      </c>
      <c r="B10">
        <v>3</v>
      </c>
      <c r="C10" s="16" t="s">
        <v>28</v>
      </c>
      <c r="D10" s="16">
        <v>2</v>
      </c>
      <c r="E10" s="16" t="s">
        <v>10</v>
      </c>
      <c r="F10" s="16">
        <v>3</v>
      </c>
      <c r="G10" s="16">
        <v>1</v>
      </c>
      <c r="H10" s="39">
        <f t="shared" si="0"/>
        <v>0.33333333333333331</v>
      </c>
      <c r="I10" s="16">
        <v>0</v>
      </c>
      <c r="J10" s="1">
        <v>0</v>
      </c>
      <c r="K10" s="1">
        <v>3</v>
      </c>
      <c r="L10" s="1">
        <v>0</v>
      </c>
      <c r="M10" s="1">
        <v>0</v>
      </c>
      <c r="N10" s="1">
        <v>0</v>
      </c>
      <c r="O10" s="1">
        <v>3</v>
      </c>
    </row>
    <row r="11" spans="1:15" x14ac:dyDescent="0.2">
      <c r="A11" s="38">
        <v>40786</v>
      </c>
      <c r="B11">
        <v>1</v>
      </c>
      <c r="C11" s="16" t="s">
        <v>29</v>
      </c>
      <c r="D11" s="16">
        <v>3</v>
      </c>
      <c r="E11" s="16" t="s">
        <v>11</v>
      </c>
      <c r="F11" s="16">
        <v>2</v>
      </c>
      <c r="G11" s="1">
        <v>10</v>
      </c>
      <c r="H11" s="39">
        <f t="shared" si="0"/>
        <v>5</v>
      </c>
      <c r="I11" s="1">
        <v>21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5" x14ac:dyDescent="0.2">
      <c r="A12" s="38">
        <v>40793</v>
      </c>
      <c r="B12">
        <v>2</v>
      </c>
      <c r="C12" s="16" t="s">
        <v>29</v>
      </c>
      <c r="D12" s="16">
        <v>3</v>
      </c>
      <c r="E12" s="16" t="s">
        <v>11</v>
      </c>
      <c r="F12" s="16">
        <v>2</v>
      </c>
      <c r="G12" s="1">
        <v>6</v>
      </c>
      <c r="H12" s="39">
        <f t="shared" si="0"/>
        <v>3</v>
      </c>
      <c r="I12" s="1">
        <v>7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  <c r="O12" s="1">
        <v>1</v>
      </c>
    </row>
    <row r="13" spans="1:15" x14ac:dyDescent="0.2">
      <c r="A13" s="38">
        <v>40799</v>
      </c>
      <c r="B13">
        <v>3</v>
      </c>
      <c r="C13" s="16" t="s">
        <v>29</v>
      </c>
      <c r="D13" s="16">
        <v>3</v>
      </c>
      <c r="E13" s="16" t="s">
        <v>11</v>
      </c>
      <c r="F13" s="16">
        <v>2</v>
      </c>
      <c r="G13" s="1">
        <v>1</v>
      </c>
      <c r="H13" s="39">
        <f t="shared" si="0"/>
        <v>0.5</v>
      </c>
      <c r="I13" s="1">
        <v>8</v>
      </c>
      <c r="J13" s="1">
        <v>1</v>
      </c>
      <c r="K13" s="1">
        <v>0</v>
      </c>
      <c r="L13" s="1">
        <v>1</v>
      </c>
      <c r="M13" s="1">
        <v>0</v>
      </c>
      <c r="N13" s="1">
        <v>0</v>
      </c>
      <c r="O13" s="1">
        <v>0</v>
      </c>
    </row>
    <row r="14" spans="1:15" x14ac:dyDescent="0.2">
      <c r="A14" s="38">
        <v>40807</v>
      </c>
      <c r="B14">
        <v>4</v>
      </c>
      <c r="C14" s="16" t="s">
        <v>29</v>
      </c>
      <c r="D14" s="16">
        <v>3</v>
      </c>
      <c r="E14" s="16" t="s">
        <v>11</v>
      </c>
      <c r="F14" s="16">
        <v>2</v>
      </c>
      <c r="G14" s="1">
        <v>3</v>
      </c>
      <c r="H14" s="39">
        <f t="shared" si="0"/>
        <v>1.5</v>
      </c>
      <c r="I14" s="1">
        <v>0</v>
      </c>
      <c r="J14" s="1">
        <v>1</v>
      </c>
      <c r="K14" s="1">
        <v>1</v>
      </c>
      <c r="L14" s="1">
        <v>0</v>
      </c>
      <c r="M14" s="1">
        <v>1</v>
      </c>
      <c r="N14" s="1">
        <v>1</v>
      </c>
      <c r="O14" s="1">
        <v>0</v>
      </c>
    </row>
    <row r="15" spans="1:15" x14ac:dyDescent="0.2">
      <c r="A15" s="38">
        <v>40786</v>
      </c>
      <c r="B15">
        <v>1</v>
      </c>
      <c r="C15" s="16" t="s">
        <v>30</v>
      </c>
      <c r="D15" s="16">
        <v>4</v>
      </c>
      <c r="E15" s="16" t="s">
        <v>12</v>
      </c>
      <c r="F15" s="16">
        <v>5</v>
      </c>
      <c r="G15" s="1">
        <v>10</v>
      </c>
      <c r="H15" s="39">
        <f t="shared" si="0"/>
        <v>2</v>
      </c>
      <c r="I15" s="1">
        <v>8</v>
      </c>
      <c r="J15" s="1">
        <v>0</v>
      </c>
      <c r="K15" s="1">
        <v>1</v>
      </c>
      <c r="L15" s="1">
        <v>0</v>
      </c>
      <c r="M15" s="1">
        <v>0</v>
      </c>
      <c r="N15" s="1">
        <v>0</v>
      </c>
      <c r="O15" s="1">
        <v>1</v>
      </c>
    </row>
    <row r="16" spans="1:15" x14ac:dyDescent="0.2">
      <c r="A16" s="38">
        <v>40793</v>
      </c>
      <c r="B16">
        <v>2</v>
      </c>
      <c r="C16" s="16" t="s">
        <v>30</v>
      </c>
      <c r="D16" s="16">
        <v>4</v>
      </c>
      <c r="E16" s="16" t="s">
        <v>12</v>
      </c>
      <c r="F16" s="16">
        <v>5</v>
      </c>
      <c r="G16" s="1">
        <v>12</v>
      </c>
      <c r="H16" s="39">
        <f t="shared" si="0"/>
        <v>2.4</v>
      </c>
      <c r="I16" s="1">
        <v>15</v>
      </c>
      <c r="J16" s="1">
        <v>0</v>
      </c>
      <c r="K16" s="1">
        <v>1</v>
      </c>
      <c r="L16" s="1">
        <v>0</v>
      </c>
      <c r="M16" s="1">
        <v>0</v>
      </c>
      <c r="N16" s="1">
        <v>0</v>
      </c>
      <c r="O16" s="1">
        <v>1</v>
      </c>
    </row>
    <row r="17" spans="1:15" x14ac:dyDescent="0.2">
      <c r="A17" s="38">
        <v>40799</v>
      </c>
      <c r="B17">
        <v>3</v>
      </c>
      <c r="C17" s="16" t="s">
        <v>30</v>
      </c>
      <c r="D17" s="16">
        <v>4</v>
      </c>
      <c r="E17" s="16" t="s">
        <v>12</v>
      </c>
      <c r="F17" s="16">
        <v>5</v>
      </c>
      <c r="G17" s="1">
        <v>10</v>
      </c>
      <c r="H17" s="39">
        <f t="shared" si="0"/>
        <v>2</v>
      </c>
      <c r="I17" s="1">
        <v>5</v>
      </c>
      <c r="J17" s="1">
        <v>6</v>
      </c>
      <c r="K17" s="1">
        <v>5</v>
      </c>
      <c r="L17" s="1">
        <v>4</v>
      </c>
      <c r="M17" s="1">
        <v>2</v>
      </c>
      <c r="N17" s="1">
        <v>2</v>
      </c>
      <c r="O17" s="1">
        <v>3</v>
      </c>
    </row>
    <row r="18" spans="1:15" x14ac:dyDescent="0.2">
      <c r="A18" s="38">
        <v>40807</v>
      </c>
      <c r="B18">
        <v>4</v>
      </c>
      <c r="C18" s="16" t="s">
        <v>30</v>
      </c>
      <c r="D18" s="16">
        <v>4</v>
      </c>
      <c r="E18" s="16" t="s">
        <v>12</v>
      </c>
      <c r="F18" s="16">
        <v>5</v>
      </c>
      <c r="G18" s="1">
        <v>6</v>
      </c>
      <c r="H18" s="39">
        <f t="shared" si="0"/>
        <v>1.2</v>
      </c>
      <c r="I18" s="1">
        <v>0</v>
      </c>
      <c r="J18" s="1">
        <v>2</v>
      </c>
      <c r="K18" s="1">
        <v>5</v>
      </c>
      <c r="L18" s="1">
        <v>0</v>
      </c>
      <c r="M18" s="1">
        <v>2</v>
      </c>
      <c r="N18" s="1">
        <v>4</v>
      </c>
      <c r="O18" s="1">
        <v>1</v>
      </c>
    </row>
    <row r="19" spans="1:15" x14ac:dyDescent="0.2">
      <c r="A19" s="38">
        <v>40784</v>
      </c>
      <c r="B19">
        <v>1</v>
      </c>
      <c r="C19" s="16" t="s">
        <v>31</v>
      </c>
      <c r="D19" s="16">
        <v>5</v>
      </c>
      <c r="E19" s="16" t="s">
        <v>13</v>
      </c>
      <c r="F19" s="16">
        <v>2</v>
      </c>
      <c r="G19" s="1">
        <v>3</v>
      </c>
      <c r="H19" s="39">
        <f t="shared" si="0"/>
        <v>1.5</v>
      </c>
      <c r="I19" s="1">
        <v>8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</row>
    <row r="20" spans="1:15" x14ac:dyDescent="0.2">
      <c r="A20" s="38">
        <v>40793</v>
      </c>
      <c r="B20">
        <v>2</v>
      </c>
      <c r="C20" s="16" t="s">
        <v>31</v>
      </c>
      <c r="D20" s="16">
        <v>5</v>
      </c>
      <c r="E20" s="16" t="s">
        <v>13</v>
      </c>
      <c r="F20" s="16">
        <v>2</v>
      </c>
      <c r="G20" s="1">
        <v>10</v>
      </c>
      <c r="H20" s="39">
        <f t="shared" si="0"/>
        <v>5</v>
      </c>
      <c r="I20" s="1">
        <v>12</v>
      </c>
      <c r="J20" s="1">
        <v>1</v>
      </c>
      <c r="K20" s="1">
        <v>1</v>
      </c>
      <c r="L20" s="1">
        <v>1</v>
      </c>
      <c r="M20" s="1">
        <v>0</v>
      </c>
      <c r="N20" s="1">
        <v>1</v>
      </c>
      <c r="O20" s="1">
        <v>0</v>
      </c>
    </row>
    <row r="21" spans="1:15" x14ac:dyDescent="0.2">
      <c r="A21" s="38">
        <v>40802</v>
      </c>
      <c r="B21">
        <v>3</v>
      </c>
      <c r="C21" s="16" t="s">
        <v>31</v>
      </c>
      <c r="D21" s="16">
        <v>5</v>
      </c>
      <c r="E21" s="16" t="s">
        <v>13</v>
      </c>
      <c r="F21" s="16">
        <v>2</v>
      </c>
      <c r="G21" s="1">
        <v>3</v>
      </c>
      <c r="H21" s="39">
        <f t="shared" si="0"/>
        <v>1.5</v>
      </c>
      <c r="I21" s="1">
        <v>2</v>
      </c>
      <c r="J21" s="1">
        <v>3</v>
      </c>
      <c r="K21" s="1">
        <v>7</v>
      </c>
      <c r="L21" s="1">
        <v>3</v>
      </c>
      <c r="M21" s="1">
        <v>0</v>
      </c>
      <c r="N21" s="1">
        <v>2</v>
      </c>
      <c r="O21" s="1">
        <v>5</v>
      </c>
    </row>
    <row r="22" spans="1:15" x14ac:dyDescent="0.2">
      <c r="A22" s="38">
        <v>40807</v>
      </c>
      <c r="B22">
        <v>4</v>
      </c>
      <c r="C22" s="16" t="s">
        <v>31</v>
      </c>
      <c r="D22" s="16">
        <v>5</v>
      </c>
      <c r="E22" s="16" t="s">
        <v>13</v>
      </c>
      <c r="F22" s="16">
        <v>2</v>
      </c>
      <c r="G22" s="1">
        <v>1</v>
      </c>
      <c r="H22" s="39">
        <f t="shared" si="0"/>
        <v>0.5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</row>
    <row r="23" spans="1:15" x14ac:dyDescent="0.2">
      <c r="A23" s="38">
        <v>40784</v>
      </c>
      <c r="B23">
        <v>1</v>
      </c>
      <c r="C23" s="16" t="s">
        <v>32</v>
      </c>
      <c r="D23" s="16">
        <v>6</v>
      </c>
      <c r="E23" s="16" t="s">
        <v>14</v>
      </c>
      <c r="F23" s="16">
        <v>4</v>
      </c>
      <c r="G23" s="1">
        <v>4</v>
      </c>
      <c r="H23" s="39">
        <f t="shared" si="0"/>
        <v>1</v>
      </c>
      <c r="I23" s="1">
        <v>12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spans="1:15" x14ac:dyDescent="0.2">
      <c r="A24" s="38">
        <v>40793</v>
      </c>
      <c r="B24">
        <v>2</v>
      </c>
      <c r="C24" s="16" t="s">
        <v>32</v>
      </c>
      <c r="D24" s="16">
        <v>6</v>
      </c>
      <c r="E24" s="16" t="s">
        <v>14</v>
      </c>
      <c r="F24" s="16">
        <v>4</v>
      </c>
      <c r="G24" s="1">
        <v>8</v>
      </c>
      <c r="H24" s="39">
        <f t="shared" si="0"/>
        <v>2</v>
      </c>
      <c r="I24" s="1">
        <v>27</v>
      </c>
      <c r="J24" s="1">
        <v>0</v>
      </c>
      <c r="K24" s="1">
        <v>1</v>
      </c>
      <c r="L24" s="1">
        <v>0</v>
      </c>
      <c r="M24" s="1">
        <v>0</v>
      </c>
      <c r="N24" s="1">
        <v>0</v>
      </c>
      <c r="O24" s="1">
        <v>1</v>
      </c>
    </row>
    <row r="25" spans="1:15" x14ac:dyDescent="0.2">
      <c r="A25" s="38">
        <v>40802</v>
      </c>
      <c r="B25">
        <v>3</v>
      </c>
      <c r="C25" s="16" t="s">
        <v>32</v>
      </c>
      <c r="D25" s="16">
        <v>6</v>
      </c>
      <c r="E25" s="16" t="s">
        <v>14</v>
      </c>
      <c r="F25" s="16">
        <v>4</v>
      </c>
      <c r="G25" s="1">
        <v>17</v>
      </c>
      <c r="H25" s="39">
        <f t="shared" si="0"/>
        <v>4.25</v>
      </c>
      <c r="I25" s="1">
        <v>11</v>
      </c>
      <c r="J25" s="1">
        <v>8</v>
      </c>
      <c r="K25" s="1">
        <v>15</v>
      </c>
      <c r="L25" s="1">
        <v>5</v>
      </c>
      <c r="M25" s="1">
        <v>3</v>
      </c>
      <c r="N25" s="1">
        <v>7</v>
      </c>
      <c r="O25" s="1">
        <v>8</v>
      </c>
    </row>
    <row r="26" spans="1:15" x14ac:dyDescent="0.2">
      <c r="A26" s="38">
        <v>40807</v>
      </c>
      <c r="B26">
        <v>4</v>
      </c>
      <c r="C26" s="16" t="s">
        <v>32</v>
      </c>
      <c r="D26" s="16">
        <v>6</v>
      </c>
      <c r="E26" s="16" t="s">
        <v>14</v>
      </c>
      <c r="F26" s="16">
        <v>4</v>
      </c>
      <c r="G26" s="1">
        <v>4</v>
      </c>
      <c r="H26" s="39">
        <f t="shared" si="0"/>
        <v>1</v>
      </c>
      <c r="I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5" x14ac:dyDescent="0.2">
      <c r="A27" s="38">
        <v>40784</v>
      </c>
      <c r="B27">
        <v>1</v>
      </c>
      <c r="C27" s="16" t="s">
        <v>33</v>
      </c>
      <c r="D27" s="16">
        <v>7</v>
      </c>
      <c r="E27" s="16" t="s">
        <v>15</v>
      </c>
      <c r="F27" s="16">
        <v>3</v>
      </c>
      <c r="G27" s="1">
        <v>2</v>
      </c>
      <c r="H27" s="39">
        <f t="shared" si="0"/>
        <v>0.66666666666666663</v>
      </c>
      <c r="I27" s="1">
        <v>8</v>
      </c>
      <c r="J27" s="1">
        <v>0</v>
      </c>
      <c r="K27" s="1">
        <v>1</v>
      </c>
      <c r="L27" s="1">
        <v>0</v>
      </c>
      <c r="M27" s="1">
        <v>0</v>
      </c>
      <c r="N27" s="1">
        <v>0</v>
      </c>
      <c r="O27" s="1">
        <v>1</v>
      </c>
    </row>
    <row r="28" spans="1:15" x14ac:dyDescent="0.2">
      <c r="A28" s="38">
        <v>40793</v>
      </c>
      <c r="B28">
        <v>2</v>
      </c>
      <c r="C28" s="16" t="s">
        <v>33</v>
      </c>
      <c r="D28" s="16">
        <v>7</v>
      </c>
      <c r="E28" s="16" t="s">
        <v>15</v>
      </c>
      <c r="F28" s="16">
        <v>3</v>
      </c>
      <c r="G28" s="1">
        <v>7</v>
      </c>
      <c r="H28" s="39">
        <f t="shared" si="0"/>
        <v>2.3333333333333335</v>
      </c>
      <c r="I28" s="1">
        <v>10</v>
      </c>
      <c r="J28" s="1">
        <v>3</v>
      </c>
      <c r="K28" s="1">
        <v>5</v>
      </c>
      <c r="L28" s="1">
        <v>3</v>
      </c>
      <c r="M28" s="1">
        <v>0</v>
      </c>
      <c r="N28" s="1">
        <v>2</v>
      </c>
      <c r="O28" s="1">
        <v>3</v>
      </c>
    </row>
    <row r="29" spans="1:15" x14ac:dyDescent="0.2">
      <c r="A29" s="38">
        <v>40802</v>
      </c>
      <c r="B29">
        <v>3</v>
      </c>
      <c r="C29" s="16" t="s">
        <v>33</v>
      </c>
      <c r="D29" s="16">
        <v>7</v>
      </c>
      <c r="E29" s="16" t="s">
        <v>15</v>
      </c>
      <c r="F29" s="16">
        <v>3</v>
      </c>
      <c r="G29" s="1">
        <v>10</v>
      </c>
      <c r="H29" s="39">
        <f t="shared" si="0"/>
        <v>3.3333333333333335</v>
      </c>
      <c r="I29" s="1">
        <v>2</v>
      </c>
      <c r="J29" s="1">
        <v>5</v>
      </c>
      <c r="K29" s="1">
        <v>12</v>
      </c>
      <c r="L29" s="1">
        <v>2</v>
      </c>
      <c r="M29" s="1">
        <v>3</v>
      </c>
      <c r="N29" s="1">
        <v>7</v>
      </c>
      <c r="O29" s="1">
        <v>5</v>
      </c>
    </row>
    <row r="30" spans="1:15" x14ac:dyDescent="0.2">
      <c r="A30" s="38">
        <v>40807</v>
      </c>
      <c r="B30">
        <v>4</v>
      </c>
      <c r="C30" s="16" t="s">
        <v>33</v>
      </c>
      <c r="D30" s="16">
        <v>7</v>
      </c>
      <c r="E30" s="16" t="s">
        <v>15</v>
      </c>
      <c r="F30" s="16">
        <v>3</v>
      </c>
      <c r="G30" s="1">
        <v>3</v>
      </c>
      <c r="H30" s="39">
        <f t="shared" si="0"/>
        <v>1</v>
      </c>
      <c r="I30" s="1">
        <v>1</v>
      </c>
      <c r="J30" s="1">
        <v>1</v>
      </c>
      <c r="K30" s="1">
        <v>0</v>
      </c>
      <c r="L30" s="1">
        <v>1</v>
      </c>
      <c r="M30" s="1">
        <v>0</v>
      </c>
      <c r="N30" s="1">
        <v>0</v>
      </c>
      <c r="O30" s="1">
        <v>0</v>
      </c>
    </row>
    <row r="31" spans="1:15" x14ac:dyDescent="0.2">
      <c r="A31" s="38">
        <v>40814</v>
      </c>
      <c r="B31">
        <v>5</v>
      </c>
      <c r="C31" s="16" t="s">
        <v>33</v>
      </c>
      <c r="D31" s="16">
        <v>7</v>
      </c>
      <c r="E31" s="16" t="s">
        <v>15</v>
      </c>
      <c r="F31" s="16">
        <v>3</v>
      </c>
      <c r="G31" s="1">
        <v>0</v>
      </c>
      <c r="H31" s="39">
        <f t="shared" si="0"/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</row>
    <row r="32" spans="1:15" x14ac:dyDescent="0.2">
      <c r="A32" s="38">
        <v>40784</v>
      </c>
      <c r="B32">
        <v>1</v>
      </c>
      <c r="C32" s="16" t="s">
        <v>34</v>
      </c>
      <c r="D32" s="16">
        <v>8</v>
      </c>
      <c r="E32" s="16" t="s">
        <v>16</v>
      </c>
      <c r="F32" s="16">
        <v>3</v>
      </c>
      <c r="G32" s="1">
        <v>11</v>
      </c>
      <c r="H32" s="39">
        <f t="shared" si="0"/>
        <v>3.6666666666666665</v>
      </c>
      <c r="I32" s="1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</row>
    <row r="33" spans="1:15" x14ac:dyDescent="0.2">
      <c r="A33" s="38">
        <v>40793</v>
      </c>
      <c r="B33">
        <v>2</v>
      </c>
      <c r="C33" s="16" t="s">
        <v>34</v>
      </c>
      <c r="D33" s="16">
        <v>8</v>
      </c>
      <c r="E33" s="16" t="s">
        <v>16</v>
      </c>
      <c r="F33" s="16">
        <v>3</v>
      </c>
      <c r="G33" s="1">
        <v>25</v>
      </c>
      <c r="H33" s="39">
        <f t="shared" si="0"/>
        <v>8.3333333333333339</v>
      </c>
      <c r="I33" s="1">
        <v>43</v>
      </c>
      <c r="J33" s="1">
        <v>1</v>
      </c>
      <c r="K33" s="1">
        <v>10</v>
      </c>
      <c r="L33" s="1">
        <v>0</v>
      </c>
      <c r="M33" s="1">
        <v>1</v>
      </c>
      <c r="N33" s="1">
        <v>3</v>
      </c>
      <c r="O33" s="1">
        <v>7</v>
      </c>
    </row>
    <row r="34" spans="1:15" x14ac:dyDescent="0.2">
      <c r="A34" s="38">
        <v>40802</v>
      </c>
      <c r="B34">
        <v>3</v>
      </c>
      <c r="C34" s="16" t="s">
        <v>34</v>
      </c>
      <c r="D34" s="16">
        <v>8</v>
      </c>
      <c r="E34" s="16" t="s">
        <v>16</v>
      </c>
      <c r="F34" s="16">
        <v>3</v>
      </c>
      <c r="G34" s="1">
        <v>24</v>
      </c>
      <c r="H34" s="39">
        <f t="shared" si="0"/>
        <v>8</v>
      </c>
      <c r="I34" s="1">
        <v>10</v>
      </c>
      <c r="J34" s="1">
        <v>22</v>
      </c>
      <c r="K34" s="1">
        <v>37</v>
      </c>
      <c r="L34" s="1">
        <v>11</v>
      </c>
      <c r="M34" s="1">
        <v>11</v>
      </c>
      <c r="N34" s="1">
        <v>15</v>
      </c>
      <c r="O34" s="1">
        <v>22</v>
      </c>
    </row>
    <row r="35" spans="1:15" x14ac:dyDescent="0.2">
      <c r="A35" s="38">
        <v>40807</v>
      </c>
      <c r="B35">
        <v>4</v>
      </c>
      <c r="C35" s="16" t="s">
        <v>34</v>
      </c>
      <c r="D35" s="16">
        <v>8</v>
      </c>
      <c r="E35" s="16" t="s">
        <v>16</v>
      </c>
      <c r="F35" s="16">
        <v>3</v>
      </c>
      <c r="G35" s="1">
        <v>5</v>
      </c>
      <c r="H35" s="39">
        <f t="shared" si="0"/>
        <v>1.6666666666666667</v>
      </c>
      <c r="I35" s="1">
        <v>1</v>
      </c>
      <c r="J35" s="1">
        <v>0</v>
      </c>
      <c r="K35" s="1">
        <v>2</v>
      </c>
      <c r="L35" s="1">
        <v>0</v>
      </c>
      <c r="M35" s="1">
        <v>0</v>
      </c>
      <c r="N35" s="1">
        <v>1</v>
      </c>
      <c r="O35" s="1">
        <v>1</v>
      </c>
    </row>
    <row r="36" spans="1:15" x14ac:dyDescent="0.2">
      <c r="A36" s="38">
        <v>40814</v>
      </c>
      <c r="B36">
        <v>5</v>
      </c>
      <c r="C36" s="16" t="s">
        <v>34</v>
      </c>
      <c r="D36" s="16">
        <v>8</v>
      </c>
      <c r="E36" s="16" t="s">
        <v>16</v>
      </c>
      <c r="F36" s="16">
        <v>3</v>
      </c>
      <c r="G36" s="1">
        <v>1</v>
      </c>
      <c r="H36" s="39">
        <f t="shared" ref="H36:H59" si="1">G36/F36</f>
        <v>0.33333333333333331</v>
      </c>
      <c r="I36" s="1">
        <v>2</v>
      </c>
      <c r="J36" s="1">
        <v>0</v>
      </c>
      <c r="K36" s="1">
        <v>1</v>
      </c>
      <c r="L36" s="1">
        <v>0</v>
      </c>
      <c r="M36" s="1">
        <v>0</v>
      </c>
      <c r="N36" s="1">
        <v>0</v>
      </c>
      <c r="O36" s="1">
        <v>1</v>
      </c>
    </row>
    <row r="37" spans="1:15" x14ac:dyDescent="0.2">
      <c r="A37" s="38">
        <v>40788</v>
      </c>
      <c r="B37">
        <v>1</v>
      </c>
      <c r="C37" s="16" t="s">
        <v>35</v>
      </c>
      <c r="D37" s="16">
        <v>9</v>
      </c>
      <c r="E37" s="16" t="s">
        <v>17</v>
      </c>
      <c r="F37" s="16">
        <v>4</v>
      </c>
      <c r="G37" s="1">
        <v>1</v>
      </c>
      <c r="H37" s="39">
        <f t="shared" si="1"/>
        <v>0.25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</row>
    <row r="38" spans="1:15" x14ac:dyDescent="0.2">
      <c r="A38" s="38">
        <v>40795</v>
      </c>
      <c r="B38">
        <v>2</v>
      </c>
      <c r="C38" s="16" t="s">
        <v>35</v>
      </c>
      <c r="D38" s="16">
        <v>9</v>
      </c>
      <c r="E38" s="16" t="s">
        <v>17</v>
      </c>
      <c r="F38" s="16">
        <v>4</v>
      </c>
      <c r="G38" s="1">
        <v>10</v>
      </c>
      <c r="H38" s="39">
        <f t="shared" si="1"/>
        <v>2.5</v>
      </c>
      <c r="I38" s="1">
        <v>4</v>
      </c>
      <c r="J38" s="1">
        <v>1</v>
      </c>
      <c r="K38" s="1">
        <v>0</v>
      </c>
      <c r="L38" s="1">
        <v>1</v>
      </c>
      <c r="M38" s="1">
        <v>0</v>
      </c>
      <c r="N38" s="1">
        <v>0</v>
      </c>
      <c r="O38" s="1">
        <v>0</v>
      </c>
    </row>
    <row r="39" spans="1:15" x14ac:dyDescent="0.2">
      <c r="A39" s="38">
        <v>40802</v>
      </c>
      <c r="B39">
        <v>3</v>
      </c>
      <c r="C39" s="16" t="s">
        <v>35</v>
      </c>
      <c r="D39" s="16">
        <v>9</v>
      </c>
      <c r="E39" s="16" t="s">
        <v>17</v>
      </c>
      <c r="F39" s="16">
        <v>4</v>
      </c>
      <c r="G39" s="1">
        <v>8</v>
      </c>
      <c r="H39" s="39">
        <f t="shared" si="1"/>
        <v>2</v>
      </c>
      <c r="I39" s="1">
        <v>4</v>
      </c>
      <c r="J39" s="1">
        <v>1</v>
      </c>
      <c r="K39" s="1">
        <v>0</v>
      </c>
      <c r="L39" s="1">
        <v>1</v>
      </c>
      <c r="M39" s="1">
        <v>0</v>
      </c>
      <c r="N39" s="1">
        <v>0</v>
      </c>
      <c r="O39" s="1">
        <v>0</v>
      </c>
    </row>
    <row r="40" spans="1:15" x14ac:dyDescent="0.2">
      <c r="A40" s="38">
        <v>40809</v>
      </c>
      <c r="B40">
        <v>4</v>
      </c>
      <c r="C40" s="16" t="s">
        <v>35</v>
      </c>
      <c r="D40" s="16">
        <v>9</v>
      </c>
      <c r="E40" s="16" t="s">
        <v>17</v>
      </c>
      <c r="F40" s="16">
        <v>4</v>
      </c>
      <c r="G40" s="1">
        <v>2</v>
      </c>
      <c r="H40" s="39">
        <f t="shared" si="1"/>
        <v>0.5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</row>
    <row r="41" spans="1:15" x14ac:dyDescent="0.2">
      <c r="A41" s="38">
        <v>40816</v>
      </c>
      <c r="B41">
        <v>5</v>
      </c>
      <c r="C41" s="16" t="s">
        <v>35</v>
      </c>
      <c r="D41" s="16">
        <v>9</v>
      </c>
      <c r="E41" s="16" t="s">
        <v>17</v>
      </c>
      <c r="F41" s="16">
        <v>4</v>
      </c>
      <c r="G41" s="1">
        <v>0</v>
      </c>
      <c r="H41" s="39">
        <f t="shared" si="1"/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</row>
    <row r="42" spans="1:15" x14ac:dyDescent="0.2">
      <c r="A42" s="38">
        <v>40788</v>
      </c>
      <c r="B42">
        <v>1</v>
      </c>
      <c r="C42" s="16" t="s">
        <v>36</v>
      </c>
      <c r="D42" s="16">
        <v>10</v>
      </c>
      <c r="E42" s="16" t="s">
        <v>18</v>
      </c>
      <c r="F42" s="16">
        <v>5</v>
      </c>
      <c r="G42" s="1">
        <v>1</v>
      </c>
      <c r="H42" s="39">
        <f t="shared" si="1"/>
        <v>0.2</v>
      </c>
      <c r="I42" s="1">
        <v>5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</row>
    <row r="43" spans="1:15" x14ac:dyDescent="0.2">
      <c r="A43" s="38">
        <v>40795</v>
      </c>
      <c r="B43">
        <v>2</v>
      </c>
      <c r="C43" s="16" t="s">
        <v>36</v>
      </c>
      <c r="D43" s="16">
        <v>10</v>
      </c>
      <c r="E43" s="16" t="s">
        <v>18</v>
      </c>
      <c r="F43" s="16">
        <v>5</v>
      </c>
      <c r="G43" s="1">
        <v>10</v>
      </c>
      <c r="H43" s="39">
        <f t="shared" si="1"/>
        <v>2</v>
      </c>
      <c r="I43" s="1">
        <v>9</v>
      </c>
      <c r="J43" s="1">
        <v>1</v>
      </c>
      <c r="K43" s="1">
        <v>0</v>
      </c>
      <c r="L43" s="1">
        <v>0</v>
      </c>
      <c r="M43" s="1">
        <v>1</v>
      </c>
      <c r="N43" s="1">
        <v>0</v>
      </c>
      <c r="O43" s="1">
        <v>0</v>
      </c>
    </row>
    <row r="44" spans="1:15" x14ac:dyDescent="0.2">
      <c r="A44" s="38">
        <v>40802</v>
      </c>
      <c r="B44">
        <v>3</v>
      </c>
      <c r="C44" s="16" t="s">
        <v>36</v>
      </c>
      <c r="D44" s="16">
        <v>10</v>
      </c>
      <c r="E44" s="16" t="s">
        <v>18</v>
      </c>
      <c r="F44" s="16">
        <v>5</v>
      </c>
      <c r="G44" s="1">
        <v>4</v>
      </c>
      <c r="H44" s="39">
        <f t="shared" si="1"/>
        <v>0.8</v>
      </c>
      <c r="I44" s="1">
        <v>3</v>
      </c>
      <c r="J44" s="1">
        <v>0</v>
      </c>
      <c r="K44" s="1">
        <v>2</v>
      </c>
      <c r="L44" s="1">
        <v>0</v>
      </c>
      <c r="M44" s="1">
        <v>0</v>
      </c>
      <c r="N44" s="1">
        <v>0</v>
      </c>
      <c r="O44" s="1">
        <v>2</v>
      </c>
    </row>
    <row r="45" spans="1:15" x14ac:dyDescent="0.2">
      <c r="A45" s="38">
        <v>40807</v>
      </c>
      <c r="B45">
        <v>4</v>
      </c>
      <c r="C45" s="16" t="s">
        <v>36</v>
      </c>
      <c r="D45" s="16">
        <v>10</v>
      </c>
      <c r="E45" s="16" t="s">
        <v>18</v>
      </c>
      <c r="F45" s="16">
        <v>5</v>
      </c>
      <c r="G45" s="1">
        <v>3</v>
      </c>
      <c r="H45" s="39">
        <f t="shared" si="1"/>
        <v>0.6</v>
      </c>
      <c r="I45" s="1">
        <v>2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</row>
    <row r="46" spans="1:15" x14ac:dyDescent="0.2">
      <c r="A46" s="38">
        <v>40816</v>
      </c>
      <c r="B46">
        <v>5</v>
      </c>
      <c r="C46" s="16" t="s">
        <v>36</v>
      </c>
      <c r="D46" s="16">
        <v>10</v>
      </c>
      <c r="E46" s="16" t="s">
        <v>18</v>
      </c>
      <c r="F46" s="16">
        <v>5</v>
      </c>
      <c r="G46" s="1">
        <v>0</v>
      </c>
      <c r="H46" s="39">
        <f t="shared" si="1"/>
        <v>0</v>
      </c>
      <c r="I46" s="1">
        <v>1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</row>
    <row r="47" spans="1:15" x14ac:dyDescent="0.2">
      <c r="A47" s="38">
        <v>40798</v>
      </c>
      <c r="B47">
        <v>1</v>
      </c>
      <c r="C47" s="16" t="s">
        <v>37</v>
      </c>
      <c r="D47" s="16">
        <v>11</v>
      </c>
      <c r="E47" s="16" t="s">
        <v>19</v>
      </c>
      <c r="F47" s="16">
        <v>4</v>
      </c>
      <c r="G47" s="1">
        <v>8</v>
      </c>
      <c r="H47" s="39">
        <f t="shared" si="1"/>
        <v>2</v>
      </c>
      <c r="I47" s="1">
        <v>5</v>
      </c>
      <c r="J47" s="1">
        <v>0</v>
      </c>
      <c r="K47" s="1">
        <v>1</v>
      </c>
      <c r="L47" s="1">
        <v>0</v>
      </c>
      <c r="M47" s="1">
        <v>0</v>
      </c>
      <c r="N47" s="1">
        <v>1</v>
      </c>
      <c r="O47" s="1">
        <v>0</v>
      </c>
    </row>
    <row r="48" spans="1:15" x14ac:dyDescent="0.2">
      <c r="A48" s="38">
        <v>40806</v>
      </c>
      <c r="B48">
        <v>2</v>
      </c>
      <c r="C48" s="16" t="s">
        <v>37</v>
      </c>
      <c r="D48" s="16">
        <v>11</v>
      </c>
      <c r="E48" s="16" t="s">
        <v>19</v>
      </c>
      <c r="F48" s="16">
        <v>4</v>
      </c>
      <c r="G48" s="1">
        <v>0</v>
      </c>
      <c r="H48" s="39">
        <f t="shared" si="1"/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</row>
    <row r="49" spans="1:15" x14ac:dyDescent="0.2">
      <c r="A49" s="38">
        <v>40798</v>
      </c>
      <c r="B49">
        <v>1</v>
      </c>
      <c r="C49" s="16" t="s">
        <v>38</v>
      </c>
      <c r="D49" s="16">
        <v>12</v>
      </c>
      <c r="E49" s="16" t="s">
        <v>20</v>
      </c>
      <c r="F49" s="16">
        <v>3</v>
      </c>
      <c r="G49" s="1">
        <v>6</v>
      </c>
      <c r="H49" s="39">
        <f t="shared" si="1"/>
        <v>2</v>
      </c>
      <c r="I49" s="1">
        <v>1</v>
      </c>
      <c r="J49" s="1">
        <v>0</v>
      </c>
      <c r="K49" s="1">
        <v>3</v>
      </c>
      <c r="L49" s="1">
        <v>0</v>
      </c>
      <c r="M49" s="1">
        <v>0</v>
      </c>
      <c r="N49" s="1">
        <v>1</v>
      </c>
      <c r="O49" s="1">
        <v>2</v>
      </c>
    </row>
    <row r="50" spans="1:15" x14ac:dyDescent="0.2">
      <c r="A50" s="38">
        <v>40806</v>
      </c>
      <c r="B50">
        <v>2</v>
      </c>
      <c r="C50" s="16" t="s">
        <v>38</v>
      </c>
      <c r="D50" s="16">
        <v>12</v>
      </c>
      <c r="E50" s="16" t="s">
        <v>20</v>
      </c>
      <c r="F50" s="16">
        <v>3</v>
      </c>
      <c r="G50" s="1">
        <v>0</v>
      </c>
      <c r="H50" s="39">
        <f t="shared" si="1"/>
        <v>0</v>
      </c>
      <c r="I50" s="1">
        <v>0</v>
      </c>
      <c r="J50" s="1">
        <v>0</v>
      </c>
      <c r="K50" s="1">
        <v>1</v>
      </c>
      <c r="L50" s="1">
        <v>0</v>
      </c>
      <c r="M50" s="1">
        <v>0</v>
      </c>
      <c r="N50" s="1">
        <v>0</v>
      </c>
      <c r="O50" s="1">
        <v>1</v>
      </c>
    </row>
    <row r="51" spans="1:15" x14ac:dyDescent="0.2">
      <c r="A51" s="38">
        <v>40807</v>
      </c>
      <c r="B51">
        <v>1</v>
      </c>
      <c r="C51" s="16" t="s">
        <v>124</v>
      </c>
      <c r="D51" s="16">
        <v>13</v>
      </c>
      <c r="E51" s="16" t="s">
        <v>21</v>
      </c>
      <c r="F51" s="16">
        <v>3</v>
      </c>
      <c r="G51" s="1">
        <v>3</v>
      </c>
      <c r="H51" s="39">
        <f t="shared" si="1"/>
        <v>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</row>
    <row r="52" spans="1:15" x14ac:dyDescent="0.2">
      <c r="A52" s="38">
        <v>40807</v>
      </c>
      <c r="B52">
        <v>1</v>
      </c>
      <c r="C52" s="16" t="s">
        <v>123</v>
      </c>
      <c r="D52" s="16">
        <v>14</v>
      </c>
      <c r="E52" s="16" t="s">
        <v>22</v>
      </c>
      <c r="F52" s="16">
        <v>3</v>
      </c>
      <c r="G52" s="1">
        <v>3</v>
      </c>
      <c r="H52" s="39">
        <f t="shared" si="1"/>
        <v>1</v>
      </c>
      <c r="I52" s="1">
        <v>1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</row>
    <row r="53" spans="1:15" x14ac:dyDescent="0.2">
      <c r="A53" s="38">
        <v>40815</v>
      </c>
      <c r="B53" s="20">
        <v>1</v>
      </c>
      <c r="C53" s="33" t="s">
        <v>40</v>
      </c>
      <c r="D53" s="33">
        <v>15</v>
      </c>
      <c r="E53" s="33" t="s">
        <v>126</v>
      </c>
      <c r="F53" s="33">
        <v>6</v>
      </c>
      <c r="G53" s="40">
        <v>0</v>
      </c>
      <c r="H53" s="39">
        <f t="shared" si="1"/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</row>
    <row r="54" spans="1:15" x14ac:dyDescent="0.2">
      <c r="A54" s="38">
        <v>40815</v>
      </c>
      <c r="B54">
        <v>1</v>
      </c>
      <c r="C54" s="16" t="s">
        <v>129</v>
      </c>
      <c r="D54" s="16">
        <v>16</v>
      </c>
      <c r="E54" s="16" t="s">
        <v>128</v>
      </c>
      <c r="F54" s="1">
        <v>6</v>
      </c>
      <c r="G54" s="1">
        <v>5</v>
      </c>
      <c r="H54" s="39">
        <f t="shared" si="1"/>
        <v>0.83333333333333337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</row>
    <row r="55" spans="1:15" x14ac:dyDescent="0.2">
      <c r="A55" s="38">
        <v>40815</v>
      </c>
      <c r="B55">
        <v>1</v>
      </c>
      <c r="C55" s="16" t="s">
        <v>131</v>
      </c>
      <c r="D55" s="16">
        <v>17</v>
      </c>
      <c r="E55" s="16" t="s">
        <v>130</v>
      </c>
      <c r="F55" s="1">
        <v>2</v>
      </c>
      <c r="G55" s="1">
        <v>1</v>
      </c>
      <c r="H55" s="39">
        <f t="shared" si="1"/>
        <v>0.5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</row>
    <row r="56" spans="1:15" x14ac:dyDescent="0.2">
      <c r="A56" s="38">
        <v>40815</v>
      </c>
      <c r="B56">
        <v>1</v>
      </c>
      <c r="C56" s="16" t="s">
        <v>133</v>
      </c>
      <c r="D56" s="16">
        <v>18</v>
      </c>
      <c r="E56" s="16" t="s">
        <v>132</v>
      </c>
      <c r="F56" s="1">
        <v>3</v>
      </c>
      <c r="G56" s="1">
        <v>0</v>
      </c>
      <c r="H56" s="39">
        <f t="shared" si="1"/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</row>
    <row r="57" spans="1:15" x14ac:dyDescent="0.2">
      <c r="A57" s="38">
        <v>40807</v>
      </c>
      <c r="B57">
        <v>1</v>
      </c>
      <c r="C57" s="16" t="s">
        <v>136</v>
      </c>
      <c r="D57" s="16">
        <v>21</v>
      </c>
      <c r="E57" s="16" t="s">
        <v>134</v>
      </c>
      <c r="F57" s="1">
        <v>3</v>
      </c>
      <c r="G57" s="1">
        <v>1</v>
      </c>
      <c r="H57" s="39">
        <f t="shared" si="1"/>
        <v>0.33333333333333331</v>
      </c>
      <c r="I57" s="1">
        <v>3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</row>
    <row r="58" spans="1:15" ht="13.5" thickBot="1" x14ac:dyDescent="0.25">
      <c r="A58" s="38">
        <v>40807</v>
      </c>
      <c r="B58">
        <v>1</v>
      </c>
      <c r="C58" s="16" t="s">
        <v>137</v>
      </c>
      <c r="D58" s="16">
        <v>22</v>
      </c>
      <c r="E58" s="16" t="s">
        <v>135</v>
      </c>
      <c r="F58" s="4">
        <v>4</v>
      </c>
      <c r="G58" s="4">
        <v>0</v>
      </c>
      <c r="H58" s="45">
        <f t="shared" si="1"/>
        <v>0</v>
      </c>
      <c r="I58" s="4">
        <v>1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</row>
    <row r="59" spans="1:15" x14ac:dyDescent="0.2">
      <c r="F59" s="2">
        <f>SUM(F4:F58)</f>
        <v>200</v>
      </c>
      <c r="G59" s="2">
        <f>SUM(G4:G58)</f>
        <v>297</v>
      </c>
      <c r="H59" s="64">
        <f t="shared" si="1"/>
        <v>1.4850000000000001</v>
      </c>
      <c r="I59" s="2">
        <f t="shared" ref="I59:O59" si="2">SUM(I4:I58)</f>
        <v>321</v>
      </c>
      <c r="J59" s="2">
        <f t="shared" si="2"/>
        <v>57</v>
      </c>
      <c r="K59" s="2">
        <f t="shared" si="2"/>
        <v>135</v>
      </c>
      <c r="L59" s="2">
        <f t="shared" si="2"/>
        <v>33</v>
      </c>
      <c r="M59" s="2">
        <f t="shared" si="2"/>
        <v>24</v>
      </c>
      <c r="N59" s="2">
        <f t="shared" si="2"/>
        <v>54</v>
      </c>
      <c r="O59" s="2">
        <f t="shared" si="2"/>
        <v>81</v>
      </c>
    </row>
    <row r="60" spans="1:15" x14ac:dyDescent="0.2"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pageMargins left="0.7" right="0.7" top="0.75" bottom="0.75" header="0.3" footer="0.3"/>
  <pageSetup scale="70" orientation="landscape" verticalDpi="0" r:id="rId1"/>
  <ignoredErrors>
    <ignoredError sqref="H59" formula="1"/>
  </ignoredError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739"/>
  <sheetViews>
    <sheetView workbookViewId="0">
      <pane ySplit="3" topLeftCell="A26" activePane="bottomLeft" state="frozen"/>
      <selection pane="bottomLeft" activeCell="G49" sqref="G49:G62"/>
    </sheetView>
  </sheetViews>
  <sheetFormatPr defaultRowHeight="12.75" x14ac:dyDescent="0.2"/>
  <cols>
    <col min="1" max="1" width="10.140625" bestFit="1" customWidth="1"/>
    <col min="5" max="5" width="37.5703125" customWidth="1"/>
  </cols>
  <sheetData>
    <row r="1" spans="1:15" x14ac:dyDescent="0.2">
      <c r="A1" s="2"/>
      <c r="B1" s="2"/>
      <c r="C1" s="2"/>
      <c r="D1" s="2"/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5" x14ac:dyDescent="0.2">
      <c r="A2" s="2" t="s">
        <v>0</v>
      </c>
      <c r="B2" s="2" t="s">
        <v>1</v>
      </c>
      <c r="C2" s="2" t="s">
        <v>108</v>
      </c>
      <c r="D2" s="2" t="s">
        <v>113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5" ht="13.5" thickBot="1" x14ac:dyDescent="0.25">
      <c r="A3" s="1"/>
      <c r="D3" s="2" t="s">
        <v>114</v>
      </c>
      <c r="F3" s="77"/>
      <c r="G3" s="77"/>
      <c r="H3" s="77"/>
      <c r="I3" s="36"/>
      <c r="J3" s="4" t="s">
        <v>6</v>
      </c>
      <c r="K3" s="4" t="s">
        <v>7</v>
      </c>
      <c r="L3" s="36" t="s">
        <v>109</v>
      </c>
      <c r="M3" s="21" t="s">
        <v>110</v>
      </c>
      <c r="N3" s="21" t="s">
        <v>111</v>
      </c>
      <c r="O3" s="21" t="s">
        <v>112</v>
      </c>
    </row>
    <row r="4" spans="1:15" x14ac:dyDescent="0.2">
      <c r="A4" s="31">
        <v>40421</v>
      </c>
      <c r="B4" s="16">
        <v>1</v>
      </c>
      <c r="C4" s="16" t="s">
        <v>118</v>
      </c>
      <c r="D4" s="16" t="s">
        <v>116</v>
      </c>
      <c r="E4" s="16" t="s">
        <v>117</v>
      </c>
      <c r="F4" s="16">
        <v>2</v>
      </c>
      <c r="G4" s="16">
        <v>5</v>
      </c>
      <c r="H4" s="35">
        <f t="shared" ref="H4:H35" si="0">G4/F4</f>
        <v>2.5</v>
      </c>
      <c r="I4" s="16">
        <v>3</v>
      </c>
      <c r="J4" s="16">
        <v>0</v>
      </c>
      <c r="K4" s="16">
        <v>3</v>
      </c>
      <c r="L4" s="16">
        <v>0</v>
      </c>
      <c r="M4" s="16">
        <v>0</v>
      </c>
      <c r="N4" s="16">
        <v>0</v>
      </c>
      <c r="O4" s="16">
        <v>3</v>
      </c>
    </row>
    <row r="5" spans="1:15" x14ac:dyDescent="0.2">
      <c r="A5" s="31">
        <v>40434</v>
      </c>
      <c r="B5" s="16">
        <v>2</v>
      </c>
      <c r="C5" s="16" t="s">
        <v>118</v>
      </c>
      <c r="D5" s="16" t="s">
        <v>116</v>
      </c>
      <c r="E5" s="16" t="s">
        <v>117</v>
      </c>
      <c r="F5" s="46">
        <v>2</v>
      </c>
      <c r="G5" s="46">
        <v>5</v>
      </c>
      <c r="H5" s="76">
        <f t="shared" si="0"/>
        <v>2.5</v>
      </c>
      <c r="I5" s="46">
        <v>0</v>
      </c>
      <c r="J5" s="46">
        <v>4</v>
      </c>
      <c r="K5" s="46">
        <v>9</v>
      </c>
      <c r="L5" s="46">
        <v>0</v>
      </c>
      <c r="M5" s="46">
        <v>4</v>
      </c>
      <c r="N5" s="46">
        <v>1</v>
      </c>
      <c r="O5" s="46">
        <v>8</v>
      </c>
    </row>
    <row r="6" spans="1:15" x14ac:dyDescent="0.2">
      <c r="A6" s="31">
        <v>40420</v>
      </c>
      <c r="B6" s="16">
        <v>1</v>
      </c>
      <c r="C6" s="16" t="s">
        <v>27</v>
      </c>
      <c r="D6" s="16">
        <v>1</v>
      </c>
      <c r="E6" s="16" t="s">
        <v>9</v>
      </c>
      <c r="F6" s="16">
        <v>6</v>
      </c>
      <c r="G6" s="16">
        <v>9</v>
      </c>
      <c r="H6" s="35">
        <f t="shared" si="0"/>
        <v>1.5</v>
      </c>
      <c r="I6" s="16">
        <v>19</v>
      </c>
      <c r="J6" s="46">
        <v>0</v>
      </c>
      <c r="K6" s="46">
        <v>0</v>
      </c>
      <c r="L6" s="16">
        <v>0</v>
      </c>
      <c r="M6" s="16">
        <v>0</v>
      </c>
      <c r="N6" s="16">
        <v>0</v>
      </c>
      <c r="O6" s="16">
        <v>0</v>
      </c>
    </row>
    <row r="7" spans="1:15" x14ac:dyDescent="0.2">
      <c r="A7" s="31">
        <v>40431</v>
      </c>
      <c r="B7" s="16">
        <v>2</v>
      </c>
      <c r="C7" s="16" t="s">
        <v>27</v>
      </c>
      <c r="D7" s="16">
        <v>1</v>
      </c>
      <c r="E7" s="16" t="s">
        <v>9</v>
      </c>
      <c r="F7" s="16">
        <v>6</v>
      </c>
      <c r="G7" s="16">
        <v>10</v>
      </c>
      <c r="H7" s="35">
        <f t="shared" si="0"/>
        <v>1.6666666666666667</v>
      </c>
      <c r="I7" s="16">
        <v>6</v>
      </c>
      <c r="J7" s="16">
        <v>0</v>
      </c>
      <c r="K7" s="16">
        <v>11</v>
      </c>
      <c r="L7" s="16">
        <v>0</v>
      </c>
      <c r="M7" s="16">
        <v>0</v>
      </c>
      <c r="N7" s="16">
        <v>3</v>
      </c>
      <c r="O7" s="16">
        <v>8</v>
      </c>
    </row>
    <row r="8" spans="1:15" x14ac:dyDescent="0.2">
      <c r="A8" s="31">
        <v>40437</v>
      </c>
      <c r="B8" s="16">
        <v>3</v>
      </c>
      <c r="C8" s="16" t="s">
        <v>27</v>
      </c>
      <c r="D8" s="16">
        <v>1</v>
      </c>
      <c r="E8" s="16" t="s">
        <v>9</v>
      </c>
      <c r="F8" s="16">
        <v>6</v>
      </c>
      <c r="G8" s="16">
        <v>1</v>
      </c>
      <c r="H8" s="35">
        <f t="shared" si="0"/>
        <v>0.16666666666666666</v>
      </c>
      <c r="I8" s="16">
        <v>2</v>
      </c>
      <c r="J8" s="16">
        <v>0</v>
      </c>
      <c r="K8" s="16">
        <v>2</v>
      </c>
      <c r="L8" s="16">
        <v>0</v>
      </c>
      <c r="M8" s="16">
        <v>0</v>
      </c>
      <c r="N8" s="16">
        <v>1</v>
      </c>
      <c r="O8" s="16">
        <v>1</v>
      </c>
    </row>
    <row r="9" spans="1:15" x14ac:dyDescent="0.2">
      <c r="A9" s="31">
        <v>40420</v>
      </c>
      <c r="B9" s="16">
        <v>1</v>
      </c>
      <c r="C9" s="16" t="s">
        <v>28</v>
      </c>
      <c r="D9" s="16">
        <v>2</v>
      </c>
      <c r="E9" s="16" t="s">
        <v>10</v>
      </c>
      <c r="F9" s="16">
        <v>3</v>
      </c>
      <c r="G9" s="16">
        <v>12</v>
      </c>
      <c r="H9" s="35">
        <f t="shared" si="0"/>
        <v>4</v>
      </c>
      <c r="I9" s="16">
        <v>24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</row>
    <row r="10" spans="1:15" x14ac:dyDescent="0.2">
      <c r="A10" s="31">
        <v>40431</v>
      </c>
      <c r="B10" s="16">
        <v>2</v>
      </c>
      <c r="C10" s="16" t="s">
        <v>28</v>
      </c>
      <c r="D10" s="16">
        <v>2</v>
      </c>
      <c r="E10" s="16" t="s">
        <v>10</v>
      </c>
      <c r="F10" s="16">
        <v>3</v>
      </c>
      <c r="G10" s="16">
        <v>32</v>
      </c>
      <c r="H10" s="35">
        <f t="shared" si="0"/>
        <v>10.666666666666666</v>
      </c>
      <c r="I10" s="16">
        <v>39</v>
      </c>
      <c r="J10" s="16">
        <v>1</v>
      </c>
      <c r="K10" s="16">
        <v>6</v>
      </c>
      <c r="L10" s="16">
        <v>0</v>
      </c>
      <c r="M10" s="16">
        <v>1</v>
      </c>
      <c r="N10" s="16">
        <v>3</v>
      </c>
      <c r="O10" s="16">
        <v>3</v>
      </c>
    </row>
    <row r="11" spans="1:15" x14ac:dyDescent="0.2">
      <c r="A11" s="31">
        <v>40437</v>
      </c>
      <c r="B11" s="16">
        <v>3</v>
      </c>
      <c r="C11" s="16" t="s">
        <v>28</v>
      </c>
      <c r="D11" s="16">
        <v>2</v>
      </c>
      <c r="E11" s="16" t="s">
        <v>10</v>
      </c>
      <c r="F11" s="16">
        <v>3</v>
      </c>
      <c r="G11" s="16">
        <v>9</v>
      </c>
      <c r="H11" s="35">
        <f t="shared" si="0"/>
        <v>3</v>
      </c>
      <c r="I11" s="16">
        <v>6</v>
      </c>
      <c r="J11" s="16">
        <v>12</v>
      </c>
      <c r="K11" s="16">
        <v>7</v>
      </c>
      <c r="L11" s="16">
        <v>6</v>
      </c>
      <c r="M11" s="16">
        <v>6</v>
      </c>
      <c r="N11" s="16">
        <v>0</v>
      </c>
      <c r="O11" s="16">
        <v>7</v>
      </c>
    </row>
    <row r="12" spans="1:15" x14ac:dyDescent="0.2">
      <c r="A12" s="31">
        <v>40420</v>
      </c>
      <c r="B12" s="16">
        <v>1</v>
      </c>
      <c r="C12" s="16" t="s">
        <v>29</v>
      </c>
      <c r="D12" s="16">
        <v>3</v>
      </c>
      <c r="E12" s="16" t="s">
        <v>11</v>
      </c>
      <c r="F12" s="16">
        <v>2</v>
      </c>
      <c r="G12" s="16">
        <v>10</v>
      </c>
      <c r="H12" s="35">
        <f t="shared" si="0"/>
        <v>5</v>
      </c>
      <c r="I12" s="16">
        <v>25</v>
      </c>
      <c r="J12" s="16">
        <v>0</v>
      </c>
      <c r="K12" s="16">
        <v>1</v>
      </c>
      <c r="L12" s="16">
        <v>0</v>
      </c>
      <c r="M12" s="16">
        <v>0</v>
      </c>
      <c r="N12" s="16">
        <v>0</v>
      </c>
      <c r="O12" s="16">
        <v>1</v>
      </c>
    </row>
    <row r="13" spans="1:15" x14ac:dyDescent="0.2">
      <c r="A13" s="31">
        <v>40431</v>
      </c>
      <c r="B13" s="16">
        <v>2</v>
      </c>
      <c r="C13" s="16" t="s">
        <v>29</v>
      </c>
      <c r="D13" s="16">
        <v>3</v>
      </c>
      <c r="E13" s="16" t="s">
        <v>11</v>
      </c>
      <c r="F13" s="16">
        <v>2</v>
      </c>
      <c r="G13" s="16">
        <v>18</v>
      </c>
      <c r="H13" s="35">
        <f t="shared" si="0"/>
        <v>9</v>
      </c>
      <c r="I13" s="16">
        <v>38</v>
      </c>
      <c r="J13" s="16">
        <v>1</v>
      </c>
      <c r="K13" s="16">
        <v>3</v>
      </c>
      <c r="L13" s="16">
        <v>0</v>
      </c>
      <c r="M13" s="16">
        <v>1</v>
      </c>
      <c r="N13" s="16">
        <v>1</v>
      </c>
      <c r="O13" s="16">
        <v>2</v>
      </c>
    </row>
    <row r="14" spans="1:15" x14ac:dyDescent="0.2">
      <c r="A14" s="31">
        <v>40444</v>
      </c>
      <c r="B14" s="16">
        <v>3</v>
      </c>
      <c r="C14" s="16" t="s">
        <v>29</v>
      </c>
      <c r="D14" s="16">
        <v>3</v>
      </c>
      <c r="E14" s="16" t="s">
        <v>11</v>
      </c>
      <c r="F14" s="16">
        <v>2</v>
      </c>
      <c r="G14" s="16">
        <v>10</v>
      </c>
      <c r="H14" s="35">
        <f t="shared" si="0"/>
        <v>5</v>
      </c>
      <c r="I14" s="16">
        <v>2</v>
      </c>
      <c r="J14" s="16">
        <v>2</v>
      </c>
      <c r="K14" s="16">
        <v>2</v>
      </c>
      <c r="L14" s="16">
        <v>0</v>
      </c>
      <c r="M14" s="16">
        <v>2</v>
      </c>
      <c r="N14" s="16">
        <v>0</v>
      </c>
      <c r="O14" s="16">
        <v>2</v>
      </c>
    </row>
    <row r="15" spans="1:15" x14ac:dyDescent="0.2">
      <c r="A15" s="37">
        <v>40375</v>
      </c>
      <c r="B15" s="1" t="s">
        <v>127</v>
      </c>
      <c r="C15" s="1" t="s">
        <v>29</v>
      </c>
      <c r="D15" s="16">
        <v>3</v>
      </c>
      <c r="E15" s="16" t="s">
        <v>11</v>
      </c>
      <c r="F15" s="16">
        <v>2</v>
      </c>
      <c r="G15" s="1">
        <v>0</v>
      </c>
      <c r="H15" s="35">
        <f t="shared" si="0"/>
        <v>0</v>
      </c>
      <c r="I15" s="1">
        <v>0</v>
      </c>
      <c r="J15" s="36">
        <v>0</v>
      </c>
      <c r="K15" s="36">
        <v>0</v>
      </c>
      <c r="L15" s="1">
        <v>0</v>
      </c>
      <c r="M15" s="21">
        <v>0</v>
      </c>
      <c r="N15" s="21">
        <v>0</v>
      </c>
      <c r="O15" s="21">
        <v>0</v>
      </c>
    </row>
    <row r="16" spans="1:15" x14ac:dyDescent="0.2">
      <c r="A16" s="31">
        <v>40420</v>
      </c>
      <c r="B16" s="16">
        <v>1</v>
      </c>
      <c r="C16" s="16" t="s">
        <v>30</v>
      </c>
      <c r="D16" s="16">
        <v>4</v>
      </c>
      <c r="E16" s="16" t="s">
        <v>12</v>
      </c>
      <c r="F16" s="16">
        <v>5</v>
      </c>
      <c r="G16" s="16">
        <v>4</v>
      </c>
      <c r="H16" s="35">
        <f t="shared" si="0"/>
        <v>0.8</v>
      </c>
      <c r="I16" s="16">
        <v>13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</row>
    <row r="17" spans="1:17" x14ac:dyDescent="0.2">
      <c r="A17" s="31">
        <v>40431</v>
      </c>
      <c r="B17" s="16">
        <v>2</v>
      </c>
      <c r="C17" s="16" t="s">
        <v>30</v>
      </c>
      <c r="D17" s="16">
        <v>4</v>
      </c>
      <c r="E17" s="16" t="s">
        <v>12</v>
      </c>
      <c r="F17" s="16">
        <v>5</v>
      </c>
      <c r="G17" s="16">
        <v>31</v>
      </c>
      <c r="H17" s="35">
        <f t="shared" si="0"/>
        <v>6.2</v>
      </c>
      <c r="I17" s="16">
        <v>24</v>
      </c>
      <c r="J17" s="16">
        <v>0</v>
      </c>
      <c r="K17" s="16">
        <v>1</v>
      </c>
      <c r="L17" s="16">
        <v>0</v>
      </c>
      <c r="M17" s="16">
        <v>0</v>
      </c>
      <c r="N17" s="16">
        <v>0</v>
      </c>
      <c r="O17" s="16">
        <v>1</v>
      </c>
    </row>
    <row r="18" spans="1:17" x14ac:dyDescent="0.2">
      <c r="A18" s="31">
        <v>40444</v>
      </c>
      <c r="B18" s="16">
        <v>3</v>
      </c>
      <c r="C18" s="16" t="s">
        <v>30</v>
      </c>
      <c r="D18" s="16">
        <v>4</v>
      </c>
      <c r="E18" s="16" t="s">
        <v>12</v>
      </c>
      <c r="F18" s="16">
        <v>5</v>
      </c>
      <c r="G18" s="16">
        <v>13</v>
      </c>
      <c r="H18" s="35">
        <f t="shared" si="0"/>
        <v>2.6</v>
      </c>
      <c r="I18" s="16">
        <v>0</v>
      </c>
      <c r="J18" s="16">
        <v>4</v>
      </c>
      <c r="K18" s="16">
        <v>2</v>
      </c>
      <c r="L18" s="16">
        <v>0</v>
      </c>
      <c r="M18" s="16">
        <v>4</v>
      </c>
      <c r="N18" s="16">
        <v>0</v>
      </c>
      <c r="O18" s="16">
        <v>2</v>
      </c>
    </row>
    <row r="19" spans="1:17" x14ac:dyDescent="0.2">
      <c r="A19" s="37">
        <v>40375</v>
      </c>
      <c r="B19" s="1" t="s">
        <v>127</v>
      </c>
      <c r="C19" s="1" t="s">
        <v>30</v>
      </c>
      <c r="D19" s="16">
        <v>4</v>
      </c>
      <c r="E19" s="16" t="s">
        <v>12</v>
      </c>
      <c r="F19" s="16">
        <v>5</v>
      </c>
      <c r="G19" s="1">
        <v>0</v>
      </c>
      <c r="H19" s="35">
        <f t="shared" si="0"/>
        <v>0</v>
      </c>
      <c r="I19" s="1">
        <v>0</v>
      </c>
      <c r="J19" s="36">
        <v>0</v>
      </c>
      <c r="K19" s="36">
        <v>0</v>
      </c>
      <c r="L19" s="1">
        <v>0</v>
      </c>
      <c r="M19" s="21">
        <v>0</v>
      </c>
      <c r="N19" s="21">
        <v>0</v>
      </c>
      <c r="O19" s="21">
        <v>0</v>
      </c>
    </row>
    <row r="20" spans="1:17" x14ac:dyDescent="0.2">
      <c r="A20" s="31">
        <v>40420</v>
      </c>
      <c r="B20" s="16">
        <v>1</v>
      </c>
      <c r="C20" s="16" t="s">
        <v>31</v>
      </c>
      <c r="D20" s="16">
        <v>5</v>
      </c>
      <c r="E20" s="16" t="s">
        <v>13</v>
      </c>
      <c r="F20" s="16">
        <v>2</v>
      </c>
      <c r="G20" s="16">
        <v>8</v>
      </c>
      <c r="H20" s="35">
        <f t="shared" si="0"/>
        <v>4</v>
      </c>
      <c r="I20" s="16">
        <v>9</v>
      </c>
      <c r="J20" s="16">
        <v>1</v>
      </c>
      <c r="K20" s="16">
        <v>0</v>
      </c>
      <c r="L20" s="16">
        <v>0</v>
      </c>
      <c r="M20" s="16">
        <v>1</v>
      </c>
      <c r="N20" s="16">
        <v>0</v>
      </c>
      <c r="O20" s="16">
        <v>0</v>
      </c>
      <c r="P20" s="16"/>
      <c r="Q20" s="15"/>
    </row>
    <row r="21" spans="1:17" x14ac:dyDescent="0.2">
      <c r="A21" s="31">
        <v>40431</v>
      </c>
      <c r="B21" s="16">
        <v>2</v>
      </c>
      <c r="C21" s="16" t="s">
        <v>31</v>
      </c>
      <c r="D21" s="16">
        <v>5</v>
      </c>
      <c r="E21" s="16" t="s">
        <v>13</v>
      </c>
      <c r="F21" s="16">
        <v>2</v>
      </c>
      <c r="G21" s="16">
        <v>14</v>
      </c>
      <c r="H21" s="35">
        <f t="shared" si="0"/>
        <v>7</v>
      </c>
      <c r="I21" s="16">
        <v>17</v>
      </c>
      <c r="J21" s="16">
        <v>2</v>
      </c>
      <c r="K21" s="16">
        <v>4</v>
      </c>
      <c r="L21" s="16">
        <v>2</v>
      </c>
      <c r="M21" s="16">
        <v>0</v>
      </c>
      <c r="N21" s="16">
        <v>2</v>
      </c>
      <c r="O21" s="16">
        <v>2</v>
      </c>
      <c r="P21" s="16"/>
      <c r="Q21" s="15"/>
    </row>
    <row r="22" spans="1:17" x14ac:dyDescent="0.2">
      <c r="A22" s="31">
        <v>40434</v>
      </c>
      <c r="B22" s="16">
        <v>3</v>
      </c>
      <c r="C22" s="16" t="s">
        <v>31</v>
      </c>
      <c r="D22" s="16">
        <v>5</v>
      </c>
      <c r="E22" s="16" t="s">
        <v>13</v>
      </c>
      <c r="F22" s="16">
        <v>2</v>
      </c>
      <c r="G22" s="16">
        <v>6</v>
      </c>
      <c r="H22" s="35">
        <f t="shared" si="0"/>
        <v>3</v>
      </c>
      <c r="I22" s="16">
        <v>4</v>
      </c>
      <c r="J22" s="16">
        <v>15</v>
      </c>
      <c r="K22" s="16">
        <v>9</v>
      </c>
      <c r="L22" s="16">
        <v>4</v>
      </c>
      <c r="M22" s="16">
        <v>11</v>
      </c>
      <c r="N22" s="16">
        <v>4</v>
      </c>
      <c r="O22" s="16">
        <v>5</v>
      </c>
      <c r="P22" s="16"/>
      <c r="Q22" s="15"/>
    </row>
    <row r="23" spans="1:17" x14ac:dyDescent="0.2">
      <c r="A23" s="31">
        <v>40441</v>
      </c>
      <c r="B23" s="16">
        <v>4</v>
      </c>
      <c r="C23" s="16" t="s">
        <v>31</v>
      </c>
      <c r="D23" s="16">
        <v>5</v>
      </c>
      <c r="E23" s="16" t="s">
        <v>13</v>
      </c>
      <c r="F23" s="16">
        <v>2</v>
      </c>
      <c r="G23" s="16">
        <v>5</v>
      </c>
      <c r="H23" s="35">
        <f t="shared" si="0"/>
        <v>2.5</v>
      </c>
      <c r="I23" s="16">
        <v>0</v>
      </c>
      <c r="J23" s="16">
        <v>8</v>
      </c>
      <c r="K23" s="16">
        <v>1</v>
      </c>
      <c r="L23" s="16">
        <v>1</v>
      </c>
      <c r="M23" s="16">
        <v>7</v>
      </c>
      <c r="N23" s="16">
        <v>0</v>
      </c>
      <c r="O23" s="16">
        <v>1</v>
      </c>
      <c r="P23" s="16"/>
      <c r="Q23" s="15"/>
    </row>
    <row r="24" spans="1:17" x14ac:dyDescent="0.2">
      <c r="A24" s="31">
        <v>40450</v>
      </c>
      <c r="B24" s="16">
        <v>5</v>
      </c>
      <c r="C24" s="16" t="s">
        <v>31</v>
      </c>
      <c r="D24" s="16">
        <v>5</v>
      </c>
      <c r="E24" s="16" t="s">
        <v>13</v>
      </c>
      <c r="F24" s="16">
        <v>2</v>
      </c>
      <c r="G24" s="16">
        <v>1</v>
      </c>
      <c r="H24" s="35">
        <f t="shared" si="0"/>
        <v>0.5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/>
      <c r="Q24" s="15"/>
    </row>
    <row r="25" spans="1:17" x14ac:dyDescent="0.2">
      <c r="A25" s="37">
        <v>40375</v>
      </c>
      <c r="B25" s="1" t="s">
        <v>127</v>
      </c>
      <c r="C25" s="16" t="s">
        <v>31</v>
      </c>
      <c r="D25" s="16">
        <v>5</v>
      </c>
      <c r="E25" s="16" t="s">
        <v>13</v>
      </c>
      <c r="F25" s="16">
        <v>2</v>
      </c>
      <c r="G25" s="1">
        <v>0</v>
      </c>
      <c r="H25" s="35">
        <f t="shared" si="0"/>
        <v>0</v>
      </c>
      <c r="I25" s="1">
        <v>0</v>
      </c>
      <c r="J25" s="36">
        <v>0</v>
      </c>
      <c r="K25" s="36">
        <v>0</v>
      </c>
      <c r="L25" s="1">
        <v>0</v>
      </c>
      <c r="M25" s="21">
        <v>0</v>
      </c>
      <c r="N25" s="21">
        <v>0</v>
      </c>
      <c r="O25" s="21">
        <v>0</v>
      </c>
      <c r="P25" s="16"/>
      <c r="Q25" s="15"/>
    </row>
    <row r="26" spans="1:17" x14ac:dyDescent="0.2">
      <c r="A26" s="37">
        <v>40410</v>
      </c>
      <c r="B26" s="1" t="s">
        <v>127</v>
      </c>
      <c r="C26" s="16" t="s">
        <v>31</v>
      </c>
      <c r="D26" s="16">
        <v>5</v>
      </c>
      <c r="E26" s="16" t="s">
        <v>13</v>
      </c>
      <c r="F26" s="16">
        <v>2</v>
      </c>
      <c r="G26" s="1">
        <v>0</v>
      </c>
      <c r="H26" s="35">
        <f t="shared" si="0"/>
        <v>0</v>
      </c>
      <c r="I26" s="1">
        <v>0</v>
      </c>
      <c r="J26" s="36">
        <v>0</v>
      </c>
      <c r="K26" s="36">
        <v>0</v>
      </c>
      <c r="L26" s="1">
        <v>0</v>
      </c>
      <c r="M26" s="21">
        <v>0</v>
      </c>
      <c r="N26" s="21">
        <v>0</v>
      </c>
      <c r="O26" s="21">
        <v>0</v>
      </c>
      <c r="P26" s="16"/>
      <c r="Q26" s="15"/>
    </row>
    <row r="27" spans="1:17" x14ac:dyDescent="0.2">
      <c r="A27" s="31">
        <v>40420</v>
      </c>
      <c r="B27" s="16">
        <v>1</v>
      </c>
      <c r="C27" s="16" t="s">
        <v>32</v>
      </c>
      <c r="D27" s="16">
        <v>6</v>
      </c>
      <c r="E27" s="16" t="s">
        <v>14</v>
      </c>
      <c r="F27" s="16">
        <v>4</v>
      </c>
      <c r="G27" s="16">
        <v>9</v>
      </c>
      <c r="H27" s="35">
        <f t="shared" si="0"/>
        <v>2.25</v>
      </c>
      <c r="I27" s="16">
        <v>17</v>
      </c>
      <c r="J27" s="16">
        <v>2</v>
      </c>
      <c r="K27" s="16">
        <v>1</v>
      </c>
      <c r="L27" s="16">
        <v>0</v>
      </c>
      <c r="M27" s="16">
        <v>2</v>
      </c>
      <c r="N27" s="16">
        <v>0</v>
      </c>
      <c r="O27" s="16">
        <v>1</v>
      </c>
      <c r="P27" s="16"/>
      <c r="Q27" s="15"/>
    </row>
    <row r="28" spans="1:17" x14ac:dyDescent="0.2">
      <c r="A28" s="31">
        <v>40431</v>
      </c>
      <c r="B28" s="16">
        <v>2</v>
      </c>
      <c r="C28" s="16" t="s">
        <v>32</v>
      </c>
      <c r="D28" s="16">
        <v>6</v>
      </c>
      <c r="E28" s="16" t="s">
        <v>14</v>
      </c>
      <c r="F28" s="16">
        <v>4</v>
      </c>
      <c r="G28" s="16">
        <v>30</v>
      </c>
      <c r="H28" s="35">
        <f t="shared" si="0"/>
        <v>7.5</v>
      </c>
      <c r="I28" s="16">
        <v>42</v>
      </c>
      <c r="J28" s="16">
        <v>12</v>
      </c>
      <c r="K28" s="16">
        <v>7</v>
      </c>
      <c r="L28" s="16">
        <v>3</v>
      </c>
      <c r="M28" s="16">
        <v>9</v>
      </c>
      <c r="N28" s="16">
        <v>5</v>
      </c>
      <c r="O28" s="16">
        <v>2</v>
      </c>
      <c r="P28" s="16"/>
      <c r="Q28" s="15"/>
    </row>
    <row r="29" spans="1:17" x14ac:dyDescent="0.2">
      <c r="A29" s="31">
        <v>40434</v>
      </c>
      <c r="B29" s="16">
        <v>3</v>
      </c>
      <c r="C29" s="16" t="s">
        <v>32</v>
      </c>
      <c r="D29" s="16">
        <v>6</v>
      </c>
      <c r="E29" s="16" t="s">
        <v>14</v>
      </c>
      <c r="F29" s="16">
        <v>4</v>
      </c>
      <c r="G29" s="16">
        <v>9</v>
      </c>
      <c r="H29" s="35">
        <f t="shared" si="0"/>
        <v>2.25</v>
      </c>
      <c r="I29" s="16">
        <v>18</v>
      </c>
      <c r="J29" s="16">
        <v>26</v>
      </c>
      <c r="K29" s="16">
        <v>26</v>
      </c>
      <c r="L29" s="16">
        <v>11</v>
      </c>
      <c r="M29" s="16">
        <v>15</v>
      </c>
      <c r="N29" s="16">
        <v>18</v>
      </c>
      <c r="O29" s="16">
        <v>8</v>
      </c>
      <c r="P29" s="16"/>
      <c r="Q29" s="15"/>
    </row>
    <row r="30" spans="1:17" x14ac:dyDescent="0.2">
      <c r="A30" s="31">
        <v>40441</v>
      </c>
      <c r="B30" s="16">
        <v>4</v>
      </c>
      <c r="C30" s="16" t="s">
        <v>32</v>
      </c>
      <c r="D30" s="16">
        <v>6</v>
      </c>
      <c r="E30" s="16" t="s">
        <v>14</v>
      </c>
      <c r="F30" s="16">
        <v>4</v>
      </c>
      <c r="G30" s="16">
        <v>6</v>
      </c>
      <c r="H30" s="35">
        <f t="shared" si="0"/>
        <v>1.5</v>
      </c>
      <c r="I30" s="16">
        <v>1</v>
      </c>
      <c r="J30" s="16">
        <v>18</v>
      </c>
      <c r="K30" s="16">
        <v>7</v>
      </c>
      <c r="L30" s="16">
        <v>3</v>
      </c>
      <c r="M30" s="16">
        <v>15</v>
      </c>
      <c r="N30" s="16">
        <v>2</v>
      </c>
      <c r="O30" s="16">
        <v>5</v>
      </c>
      <c r="P30" s="16"/>
      <c r="Q30" s="15"/>
    </row>
    <row r="31" spans="1:17" x14ac:dyDescent="0.2">
      <c r="A31" s="31">
        <v>40450</v>
      </c>
      <c r="B31" s="16">
        <v>5</v>
      </c>
      <c r="C31" s="16" t="s">
        <v>32</v>
      </c>
      <c r="D31" s="16">
        <v>6</v>
      </c>
      <c r="E31" s="16" t="s">
        <v>14</v>
      </c>
      <c r="F31" s="16">
        <v>4</v>
      </c>
      <c r="G31" s="16">
        <v>5</v>
      </c>
      <c r="H31" s="35">
        <f t="shared" si="0"/>
        <v>1.25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/>
      <c r="Q31" s="15"/>
    </row>
    <row r="32" spans="1:17" x14ac:dyDescent="0.2">
      <c r="A32" s="37">
        <v>40375</v>
      </c>
      <c r="B32" s="1" t="s">
        <v>127</v>
      </c>
      <c r="C32" s="16" t="s">
        <v>32</v>
      </c>
      <c r="D32" s="16">
        <v>6</v>
      </c>
      <c r="E32" s="16" t="s">
        <v>14</v>
      </c>
      <c r="F32" s="16">
        <v>4</v>
      </c>
      <c r="G32" s="1">
        <v>0</v>
      </c>
      <c r="H32" s="35">
        <f t="shared" si="0"/>
        <v>0</v>
      </c>
      <c r="I32" s="1">
        <v>0</v>
      </c>
      <c r="J32" s="36">
        <v>0</v>
      </c>
      <c r="K32" s="36">
        <v>0</v>
      </c>
      <c r="L32" s="1">
        <v>0</v>
      </c>
      <c r="M32" s="21">
        <v>0</v>
      </c>
      <c r="N32" s="21">
        <v>0</v>
      </c>
      <c r="O32" s="21">
        <v>0</v>
      </c>
      <c r="P32" s="16"/>
      <c r="Q32" s="15"/>
    </row>
    <row r="33" spans="1:17" x14ac:dyDescent="0.2">
      <c r="A33" s="37">
        <v>40410</v>
      </c>
      <c r="B33" s="1" t="s">
        <v>127</v>
      </c>
      <c r="C33" s="16" t="s">
        <v>32</v>
      </c>
      <c r="D33" s="16">
        <v>6</v>
      </c>
      <c r="E33" s="16" t="s">
        <v>14</v>
      </c>
      <c r="F33" s="16">
        <v>4</v>
      </c>
      <c r="G33" s="1">
        <v>0</v>
      </c>
      <c r="H33" s="35">
        <f t="shared" si="0"/>
        <v>0</v>
      </c>
      <c r="I33" s="1">
        <v>0</v>
      </c>
      <c r="J33" s="36">
        <v>0</v>
      </c>
      <c r="K33" s="36">
        <v>0</v>
      </c>
      <c r="L33" s="1">
        <v>0</v>
      </c>
      <c r="M33" s="21">
        <v>0</v>
      </c>
      <c r="N33" s="21">
        <v>0</v>
      </c>
      <c r="O33" s="21">
        <v>0</v>
      </c>
      <c r="P33" s="16"/>
      <c r="Q33" s="15"/>
    </row>
    <row r="34" spans="1:17" x14ac:dyDescent="0.2">
      <c r="A34" s="37">
        <v>40374</v>
      </c>
      <c r="B34" s="1" t="s">
        <v>127</v>
      </c>
      <c r="C34" s="1" t="s">
        <v>33</v>
      </c>
      <c r="D34" s="16">
        <v>7</v>
      </c>
      <c r="E34" s="16" t="s">
        <v>15</v>
      </c>
      <c r="F34" s="1">
        <v>3</v>
      </c>
      <c r="G34" s="1">
        <v>0</v>
      </c>
      <c r="H34" s="35">
        <f t="shared" si="0"/>
        <v>0</v>
      </c>
      <c r="I34" s="1">
        <v>0</v>
      </c>
      <c r="J34" s="36">
        <v>1</v>
      </c>
      <c r="K34" s="36">
        <v>0</v>
      </c>
      <c r="L34" s="1">
        <v>0</v>
      </c>
      <c r="M34" s="21">
        <v>1</v>
      </c>
      <c r="N34" s="21">
        <v>0</v>
      </c>
      <c r="O34" s="21">
        <v>0</v>
      </c>
      <c r="P34" s="16"/>
      <c r="Q34" s="15"/>
    </row>
    <row r="35" spans="1:17" x14ac:dyDescent="0.2">
      <c r="A35" s="31">
        <v>40420</v>
      </c>
      <c r="B35" s="16">
        <v>1</v>
      </c>
      <c r="C35" s="16" t="s">
        <v>33</v>
      </c>
      <c r="D35" s="16">
        <v>7</v>
      </c>
      <c r="E35" s="16" t="s">
        <v>15</v>
      </c>
      <c r="F35" s="16">
        <v>3</v>
      </c>
      <c r="G35" s="16">
        <v>3</v>
      </c>
      <c r="H35" s="35">
        <f t="shared" si="0"/>
        <v>1</v>
      </c>
      <c r="I35" s="16">
        <v>11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/>
      <c r="Q35" s="15"/>
    </row>
    <row r="36" spans="1:17" x14ac:dyDescent="0.2">
      <c r="A36" s="31">
        <v>40431</v>
      </c>
      <c r="B36" s="16">
        <v>2</v>
      </c>
      <c r="C36" s="16" t="s">
        <v>33</v>
      </c>
      <c r="D36" s="16">
        <v>7</v>
      </c>
      <c r="E36" s="16" t="s">
        <v>15</v>
      </c>
      <c r="F36" s="16">
        <v>3</v>
      </c>
      <c r="G36" s="16">
        <v>17</v>
      </c>
      <c r="H36" s="35">
        <f t="shared" ref="H36:H66" si="1">G36/F36</f>
        <v>5.666666666666667</v>
      </c>
      <c r="I36" s="16">
        <v>19</v>
      </c>
      <c r="J36" s="16">
        <v>9</v>
      </c>
      <c r="K36" s="16">
        <v>13</v>
      </c>
      <c r="L36" s="16">
        <v>6</v>
      </c>
      <c r="M36" s="16">
        <v>3</v>
      </c>
      <c r="N36" s="16">
        <v>6</v>
      </c>
      <c r="O36" s="16">
        <v>7</v>
      </c>
      <c r="P36" s="16"/>
      <c r="Q36" s="15"/>
    </row>
    <row r="37" spans="1:17" x14ac:dyDescent="0.2">
      <c r="A37" s="31">
        <v>40438</v>
      </c>
      <c r="B37" s="16">
        <v>3</v>
      </c>
      <c r="C37" s="16" t="s">
        <v>33</v>
      </c>
      <c r="D37" s="16">
        <v>7</v>
      </c>
      <c r="E37" s="16" t="s">
        <v>15</v>
      </c>
      <c r="F37" s="16">
        <v>3</v>
      </c>
      <c r="G37" s="16">
        <v>13</v>
      </c>
      <c r="H37" s="35">
        <f t="shared" si="1"/>
        <v>4.333333333333333</v>
      </c>
      <c r="I37" s="16">
        <v>5</v>
      </c>
      <c r="J37" s="16">
        <v>5</v>
      </c>
      <c r="K37" s="16">
        <v>6</v>
      </c>
      <c r="L37" s="16">
        <v>2</v>
      </c>
      <c r="M37" s="16">
        <v>3</v>
      </c>
      <c r="N37" s="16">
        <v>2</v>
      </c>
      <c r="O37" s="16">
        <v>4</v>
      </c>
      <c r="P37" s="16"/>
      <c r="Q37" s="15"/>
    </row>
    <row r="38" spans="1:17" x14ac:dyDescent="0.2">
      <c r="A38" s="31">
        <v>40445</v>
      </c>
      <c r="B38" s="16">
        <v>4</v>
      </c>
      <c r="C38" s="16" t="s">
        <v>33</v>
      </c>
      <c r="D38" s="16">
        <v>7</v>
      </c>
      <c r="E38" s="16" t="s">
        <v>15</v>
      </c>
      <c r="F38" s="16">
        <v>3</v>
      </c>
      <c r="G38" s="16">
        <v>2</v>
      </c>
      <c r="H38" s="35">
        <f t="shared" si="1"/>
        <v>0.66666666666666663</v>
      </c>
      <c r="I38" s="16">
        <v>0</v>
      </c>
      <c r="J38" s="16">
        <v>0</v>
      </c>
      <c r="K38" s="16">
        <v>1</v>
      </c>
      <c r="L38" s="16">
        <v>0</v>
      </c>
      <c r="M38" s="16">
        <v>0</v>
      </c>
      <c r="N38" s="16">
        <v>1</v>
      </c>
      <c r="O38" s="16">
        <v>0</v>
      </c>
      <c r="P38" s="16"/>
      <c r="Q38" s="15"/>
    </row>
    <row r="39" spans="1:17" x14ac:dyDescent="0.2">
      <c r="A39" s="37">
        <v>40381</v>
      </c>
      <c r="B39" s="1" t="s">
        <v>127</v>
      </c>
      <c r="C39" s="16" t="s">
        <v>33</v>
      </c>
      <c r="D39" s="16">
        <v>7</v>
      </c>
      <c r="E39" s="16" t="s">
        <v>15</v>
      </c>
      <c r="F39" s="16">
        <v>3</v>
      </c>
      <c r="G39" s="1">
        <v>0</v>
      </c>
      <c r="H39" s="35">
        <f t="shared" si="1"/>
        <v>0</v>
      </c>
      <c r="I39" s="1">
        <v>0</v>
      </c>
      <c r="J39" s="36">
        <v>0</v>
      </c>
      <c r="K39" s="36">
        <v>0</v>
      </c>
      <c r="L39" s="1">
        <v>0</v>
      </c>
      <c r="M39" s="21">
        <v>0</v>
      </c>
      <c r="N39" s="21">
        <v>0</v>
      </c>
      <c r="O39" s="21">
        <v>0</v>
      </c>
      <c r="P39" s="16"/>
      <c r="Q39" s="15"/>
    </row>
    <row r="40" spans="1:17" x14ac:dyDescent="0.2">
      <c r="A40" s="37">
        <v>40388</v>
      </c>
      <c r="B40" s="1" t="s">
        <v>127</v>
      </c>
      <c r="C40" s="16" t="s">
        <v>33</v>
      </c>
      <c r="D40" s="16">
        <v>7</v>
      </c>
      <c r="E40" s="16" t="s">
        <v>15</v>
      </c>
      <c r="F40" s="16">
        <v>3</v>
      </c>
      <c r="G40" s="1">
        <v>0</v>
      </c>
      <c r="H40" s="35">
        <f t="shared" si="1"/>
        <v>0</v>
      </c>
      <c r="I40" s="1">
        <v>0</v>
      </c>
      <c r="J40" s="36">
        <v>0</v>
      </c>
      <c r="K40" s="36">
        <v>0</v>
      </c>
      <c r="L40" s="1">
        <v>0</v>
      </c>
      <c r="M40" s="21">
        <v>0</v>
      </c>
      <c r="N40" s="21">
        <v>0</v>
      </c>
      <c r="O40" s="21">
        <v>0</v>
      </c>
      <c r="P40" s="16"/>
      <c r="Q40" s="15"/>
    </row>
    <row r="41" spans="1:17" x14ac:dyDescent="0.2">
      <c r="A41" s="37">
        <v>40392</v>
      </c>
      <c r="B41" s="1" t="s">
        <v>127</v>
      </c>
      <c r="C41" s="1" t="s">
        <v>33</v>
      </c>
      <c r="D41" s="16">
        <v>7</v>
      </c>
      <c r="E41" s="16" t="s">
        <v>15</v>
      </c>
      <c r="F41" s="1">
        <v>3</v>
      </c>
      <c r="G41" s="1">
        <v>0</v>
      </c>
      <c r="H41" s="35">
        <f t="shared" si="1"/>
        <v>0</v>
      </c>
      <c r="I41" s="1">
        <v>0</v>
      </c>
      <c r="J41" s="36">
        <v>0</v>
      </c>
      <c r="K41" s="36">
        <v>1</v>
      </c>
      <c r="L41" s="1">
        <v>0</v>
      </c>
      <c r="M41" s="21">
        <v>0</v>
      </c>
      <c r="N41" s="21">
        <v>1</v>
      </c>
      <c r="O41" s="21">
        <v>0</v>
      </c>
      <c r="P41" s="16"/>
      <c r="Q41" s="15"/>
    </row>
    <row r="42" spans="1:17" x14ac:dyDescent="0.2">
      <c r="A42" s="37">
        <v>40402</v>
      </c>
      <c r="B42" s="1" t="s">
        <v>127</v>
      </c>
      <c r="C42" s="16" t="s">
        <v>33</v>
      </c>
      <c r="D42" s="16">
        <v>7</v>
      </c>
      <c r="E42" s="16" t="s">
        <v>15</v>
      </c>
      <c r="F42" s="16">
        <v>3</v>
      </c>
      <c r="G42" s="1">
        <v>0</v>
      </c>
      <c r="H42" s="35">
        <f t="shared" si="1"/>
        <v>0</v>
      </c>
      <c r="I42" s="1">
        <v>0</v>
      </c>
      <c r="J42" s="36">
        <v>0</v>
      </c>
      <c r="K42" s="36">
        <v>0</v>
      </c>
      <c r="L42" s="1">
        <v>0</v>
      </c>
      <c r="M42" s="21">
        <v>0</v>
      </c>
      <c r="N42" s="21">
        <v>0</v>
      </c>
      <c r="O42" s="21">
        <v>0</v>
      </c>
      <c r="P42" s="16"/>
      <c r="Q42" s="15"/>
    </row>
    <row r="43" spans="1:17" x14ac:dyDescent="0.2">
      <c r="A43" s="31">
        <v>40420</v>
      </c>
      <c r="B43" s="16">
        <v>1</v>
      </c>
      <c r="C43" s="16" t="s">
        <v>34</v>
      </c>
      <c r="D43" s="16">
        <v>8</v>
      </c>
      <c r="E43" s="16" t="s">
        <v>16</v>
      </c>
      <c r="F43" s="16">
        <v>3</v>
      </c>
      <c r="G43" s="16">
        <v>3</v>
      </c>
      <c r="H43" s="35">
        <f t="shared" si="1"/>
        <v>1</v>
      </c>
      <c r="I43" s="16">
        <v>11</v>
      </c>
      <c r="J43" s="16">
        <v>0</v>
      </c>
      <c r="K43" s="16">
        <v>1</v>
      </c>
      <c r="L43" s="16">
        <v>0</v>
      </c>
      <c r="M43" s="16">
        <v>0</v>
      </c>
      <c r="N43" s="16">
        <v>0</v>
      </c>
      <c r="O43" s="16">
        <v>1</v>
      </c>
      <c r="P43" s="16"/>
      <c r="Q43" s="15"/>
    </row>
    <row r="44" spans="1:17" x14ac:dyDescent="0.2">
      <c r="A44" s="31">
        <v>40431</v>
      </c>
      <c r="B44" s="16">
        <v>2</v>
      </c>
      <c r="C44" s="16" t="s">
        <v>34</v>
      </c>
      <c r="D44" s="16">
        <v>8</v>
      </c>
      <c r="E44" s="16" t="s">
        <v>16</v>
      </c>
      <c r="F44" s="16">
        <v>3</v>
      </c>
      <c r="G44" s="16">
        <v>47</v>
      </c>
      <c r="H44" s="35">
        <f t="shared" si="1"/>
        <v>15.666666666666666</v>
      </c>
      <c r="I44" s="16">
        <v>74</v>
      </c>
      <c r="J44" s="16">
        <v>16</v>
      </c>
      <c r="K44" s="16">
        <v>37</v>
      </c>
      <c r="L44" s="16">
        <v>4</v>
      </c>
      <c r="M44" s="16">
        <v>12</v>
      </c>
      <c r="N44" s="16">
        <v>10</v>
      </c>
      <c r="O44" s="16">
        <v>27</v>
      </c>
      <c r="P44" s="16"/>
      <c r="Q44" s="15"/>
    </row>
    <row r="45" spans="1:17" x14ac:dyDescent="0.2">
      <c r="A45" s="31">
        <v>40438</v>
      </c>
      <c r="B45" s="16">
        <v>3</v>
      </c>
      <c r="C45" s="16" t="s">
        <v>34</v>
      </c>
      <c r="D45" s="16">
        <v>8</v>
      </c>
      <c r="E45" s="16" t="s">
        <v>16</v>
      </c>
      <c r="F45" s="16">
        <v>3</v>
      </c>
      <c r="G45" s="16">
        <v>21</v>
      </c>
      <c r="H45" s="35">
        <f t="shared" si="1"/>
        <v>7</v>
      </c>
      <c r="I45" s="16">
        <v>25</v>
      </c>
      <c r="J45" s="16">
        <v>21</v>
      </c>
      <c r="K45" s="16">
        <v>32</v>
      </c>
      <c r="L45" s="16">
        <v>6</v>
      </c>
      <c r="M45" s="16">
        <v>15</v>
      </c>
      <c r="N45" s="16">
        <v>19</v>
      </c>
      <c r="O45" s="16">
        <v>13</v>
      </c>
      <c r="P45" s="16"/>
      <c r="Q45" s="15"/>
    </row>
    <row r="46" spans="1:17" x14ac:dyDescent="0.2">
      <c r="A46" s="31">
        <v>40445</v>
      </c>
      <c r="B46" s="16">
        <v>4</v>
      </c>
      <c r="C46" s="16" t="s">
        <v>34</v>
      </c>
      <c r="D46" s="16">
        <v>8</v>
      </c>
      <c r="E46" s="16" t="s">
        <v>16</v>
      </c>
      <c r="F46" s="16">
        <v>3</v>
      </c>
      <c r="G46" s="16">
        <v>4</v>
      </c>
      <c r="H46" s="35">
        <f t="shared" si="1"/>
        <v>1.3333333333333333</v>
      </c>
      <c r="I46" s="16">
        <v>1</v>
      </c>
      <c r="J46" s="16">
        <v>1</v>
      </c>
      <c r="K46" s="16">
        <v>2</v>
      </c>
      <c r="L46" s="16">
        <v>0</v>
      </c>
      <c r="M46" s="16">
        <v>1</v>
      </c>
      <c r="N46" s="16">
        <v>1</v>
      </c>
      <c r="O46" s="16">
        <v>1</v>
      </c>
      <c r="P46" s="16"/>
      <c r="Q46" s="15"/>
    </row>
    <row r="47" spans="1:17" x14ac:dyDescent="0.2">
      <c r="A47" s="37">
        <v>40380</v>
      </c>
      <c r="B47" s="1" t="s">
        <v>127</v>
      </c>
      <c r="C47" s="1" t="s">
        <v>34</v>
      </c>
      <c r="D47" s="16">
        <v>8</v>
      </c>
      <c r="E47" s="16" t="s">
        <v>16</v>
      </c>
      <c r="F47" s="16">
        <v>3</v>
      </c>
      <c r="G47" s="1">
        <v>0</v>
      </c>
      <c r="H47" s="35">
        <f t="shared" si="1"/>
        <v>0</v>
      </c>
      <c r="I47" s="1">
        <v>0</v>
      </c>
      <c r="J47" s="36">
        <v>0</v>
      </c>
      <c r="K47" s="36">
        <v>0</v>
      </c>
      <c r="L47" s="1">
        <v>0</v>
      </c>
      <c r="M47" s="21">
        <v>0</v>
      </c>
      <c r="N47" s="21">
        <v>0</v>
      </c>
      <c r="O47" s="21">
        <v>0</v>
      </c>
      <c r="P47" s="16"/>
      <c r="Q47" s="15"/>
    </row>
    <row r="48" spans="1:17" x14ac:dyDescent="0.2">
      <c r="A48" s="37">
        <v>40393</v>
      </c>
      <c r="B48" s="1" t="s">
        <v>127</v>
      </c>
      <c r="C48" s="1" t="s">
        <v>34</v>
      </c>
      <c r="D48" s="16">
        <v>8</v>
      </c>
      <c r="E48" s="16" t="s">
        <v>16</v>
      </c>
      <c r="F48" s="16">
        <v>3</v>
      </c>
      <c r="G48" s="1">
        <v>0</v>
      </c>
      <c r="H48" s="35">
        <f t="shared" si="1"/>
        <v>0</v>
      </c>
      <c r="I48" s="1">
        <v>0</v>
      </c>
      <c r="J48" s="36">
        <v>0</v>
      </c>
      <c r="K48" s="36">
        <v>0</v>
      </c>
      <c r="L48" s="1">
        <v>0</v>
      </c>
      <c r="M48" s="21">
        <v>0</v>
      </c>
      <c r="N48" s="21">
        <v>0</v>
      </c>
      <c r="O48" s="21">
        <v>0</v>
      </c>
      <c r="P48" s="16"/>
      <c r="Q48" s="15"/>
    </row>
    <row r="49" spans="1:17" x14ac:dyDescent="0.2">
      <c r="A49" s="31">
        <v>40420</v>
      </c>
      <c r="B49" s="16">
        <v>1</v>
      </c>
      <c r="C49" s="16" t="s">
        <v>35</v>
      </c>
      <c r="D49" s="16">
        <v>9</v>
      </c>
      <c r="E49" s="16" t="s">
        <v>17</v>
      </c>
      <c r="F49" s="16">
        <v>4</v>
      </c>
      <c r="G49" s="16">
        <v>2</v>
      </c>
      <c r="H49" s="35">
        <f t="shared" si="1"/>
        <v>0.5</v>
      </c>
      <c r="I49" s="16">
        <v>4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/>
      <c r="Q49" s="15"/>
    </row>
    <row r="50" spans="1:17" x14ac:dyDescent="0.2">
      <c r="A50" s="31">
        <v>40431</v>
      </c>
      <c r="B50" s="16">
        <v>2</v>
      </c>
      <c r="C50" s="16" t="s">
        <v>35</v>
      </c>
      <c r="D50" s="16">
        <v>9</v>
      </c>
      <c r="E50" s="16" t="s">
        <v>17</v>
      </c>
      <c r="F50" s="16">
        <v>4</v>
      </c>
      <c r="G50" s="16">
        <v>14</v>
      </c>
      <c r="H50" s="35">
        <f t="shared" si="1"/>
        <v>3.5</v>
      </c>
      <c r="I50" s="16">
        <v>19</v>
      </c>
      <c r="J50" s="16">
        <v>0</v>
      </c>
      <c r="K50" s="16">
        <v>1</v>
      </c>
      <c r="L50" s="16">
        <v>0</v>
      </c>
      <c r="M50" s="16">
        <v>0</v>
      </c>
      <c r="N50" s="16">
        <v>0</v>
      </c>
      <c r="O50" s="16">
        <v>1</v>
      </c>
      <c r="P50" s="16"/>
      <c r="Q50" s="15"/>
    </row>
    <row r="51" spans="1:17" x14ac:dyDescent="0.2">
      <c r="A51" s="31">
        <v>40438</v>
      </c>
      <c r="B51" s="16">
        <v>3</v>
      </c>
      <c r="C51" s="16" t="s">
        <v>35</v>
      </c>
      <c r="D51" s="16">
        <v>9</v>
      </c>
      <c r="E51" s="16" t="s">
        <v>17</v>
      </c>
      <c r="F51" s="16">
        <v>4</v>
      </c>
      <c r="G51" s="16">
        <v>11</v>
      </c>
      <c r="H51" s="35">
        <f t="shared" si="1"/>
        <v>2.75</v>
      </c>
      <c r="I51" s="16">
        <v>5</v>
      </c>
      <c r="J51" s="16">
        <v>1</v>
      </c>
      <c r="K51" s="16">
        <v>8</v>
      </c>
      <c r="L51" s="16">
        <v>1</v>
      </c>
      <c r="M51" s="16">
        <v>0</v>
      </c>
      <c r="N51" s="16">
        <v>5</v>
      </c>
      <c r="O51" s="16">
        <v>3</v>
      </c>
      <c r="P51" s="16"/>
      <c r="Q51" s="15"/>
    </row>
    <row r="52" spans="1:17" x14ac:dyDescent="0.2">
      <c r="A52" s="31">
        <v>40445</v>
      </c>
      <c r="B52" s="16">
        <v>4</v>
      </c>
      <c r="C52" s="16" t="s">
        <v>35</v>
      </c>
      <c r="D52" s="16">
        <v>9</v>
      </c>
      <c r="E52" s="16" t="s">
        <v>17</v>
      </c>
      <c r="F52" s="16">
        <v>4</v>
      </c>
      <c r="G52" s="16">
        <v>8</v>
      </c>
      <c r="H52" s="35">
        <f t="shared" si="1"/>
        <v>2</v>
      </c>
      <c r="I52" s="16">
        <v>0</v>
      </c>
      <c r="J52" s="16">
        <v>0</v>
      </c>
      <c r="K52" s="16">
        <v>1</v>
      </c>
      <c r="L52" s="16">
        <v>0</v>
      </c>
      <c r="M52" s="16">
        <v>0</v>
      </c>
      <c r="N52" s="16">
        <v>0</v>
      </c>
      <c r="O52" s="16">
        <v>1</v>
      </c>
      <c r="P52" s="16"/>
      <c r="Q52" s="15"/>
    </row>
    <row r="53" spans="1:17" x14ac:dyDescent="0.2">
      <c r="A53" s="31">
        <v>40452</v>
      </c>
      <c r="B53" s="16">
        <v>5</v>
      </c>
      <c r="C53" s="16" t="s">
        <v>35</v>
      </c>
      <c r="D53" s="16">
        <v>9</v>
      </c>
      <c r="E53" s="16" t="s">
        <v>17</v>
      </c>
      <c r="F53" s="16">
        <v>4</v>
      </c>
      <c r="G53" s="16">
        <v>3</v>
      </c>
      <c r="H53" s="35">
        <f t="shared" si="1"/>
        <v>0.75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/>
      <c r="Q53" s="15"/>
    </row>
    <row r="54" spans="1:17" x14ac:dyDescent="0.2">
      <c r="A54" s="37">
        <v>40382</v>
      </c>
      <c r="B54" s="1" t="s">
        <v>127</v>
      </c>
      <c r="C54" s="1" t="s">
        <v>35</v>
      </c>
      <c r="D54" s="16">
        <v>9</v>
      </c>
      <c r="E54" s="16" t="s">
        <v>17</v>
      </c>
      <c r="F54" s="1">
        <v>4</v>
      </c>
      <c r="G54" s="1">
        <v>0</v>
      </c>
      <c r="H54" s="35">
        <f t="shared" si="1"/>
        <v>0</v>
      </c>
      <c r="I54" s="1">
        <v>0</v>
      </c>
      <c r="J54" s="36">
        <v>0</v>
      </c>
      <c r="K54" s="36">
        <v>0</v>
      </c>
      <c r="L54" s="1">
        <v>0</v>
      </c>
      <c r="M54" s="21">
        <v>0</v>
      </c>
      <c r="N54" s="21">
        <v>0</v>
      </c>
      <c r="O54" s="21">
        <v>0</v>
      </c>
      <c r="P54" s="16"/>
      <c r="Q54" s="15"/>
    </row>
    <row r="55" spans="1:17" x14ac:dyDescent="0.2">
      <c r="A55" s="31">
        <v>40420</v>
      </c>
      <c r="B55" s="16">
        <v>1</v>
      </c>
      <c r="C55" s="16" t="s">
        <v>36</v>
      </c>
      <c r="D55" s="16">
        <v>10</v>
      </c>
      <c r="E55" s="16" t="s">
        <v>18</v>
      </c>
      <c r="F55" s="16">
        <v>5</v>
      </c>
      <c r="G55" s="16">
        <v>1</v>
      </c>
      <c r="H55" s="35">
        <f t="shared" si="1"/>
        <v>0.2</v>
      </c>
      <c r="I55" s="16">
        <v>6</v>
      </c>
      <c r="J55" s="16">
        <v>0</v>
      </c>
      <c r="K55" s="16">
        <v>1</v>
      </c>
      <c r="L55" s="16">
        <v>0</v>
      </c>
      <c r="M55" s="16">
        <v>0</v>
      </c>
      <c r="N55" s="16">
        <v>1</v>
      </c>
      <c r="O55" s="16">
        <v>0</v>
      </c>
      <c r="P55" s="16"/>
      <c r="Q55" s="15"/>
    </row>
    <row r="56" spans="1:17" x14ac:dyDescent="0.2">
      <c r="A56" s="31">
        <v>40438</v>
      </c>
      <c r="B56" s="16">
        <v>2</v>
      </c>
      <c r="C56" s="16" t="s">
        <v>36</v>
      </c>
      <c r="D56" s="16">
        <v>10</v>
      </c>
      <c r="E56" s="16" t="s">
        <v>18</v>
      </c>
      <c r="F56" s="16">
        <v>5</v>
      </c>
      <c r="G56" s="16">
        <v>33</v>
      </c>
      <c r="H56" s="35">
        <f t="shared" si="1"/>
        <v>6.6</v>
      </c>
      <c r="I56" s="16">
        <v>5</v>
      </c>
      <c r="J56" s="16">
        <v>1</v>
      </c>
      <c r="K56" s="16">
        <v>8</v>
      </c>
      <c r="L56" s="16">
        <v>0</v>
      </c>
      <c r="M56" s="16">
        <v>1</v>
      </c>
      <c r="N56" s="16">
        <v>4</v>
      </c>
      <c r="O56" s="16">
        <v>4</v>
      </c>
      <c r="P56" s="16"/>
      <c r="Q56" s="15"/>
    </row>
    <row r="57" spans="1:17" x14ac:dyDescent="0.2">
      <c r="A57" s="31">
        <v>40442</v>
      </c>
      <c r="B57" s="16">
        <v>3</v>
      </c>
      <c r="C57" s="16" t="s">
        <v>36</v>
      </c>
      <c r="D57" s="16">
        <v>10</v>
      </c>
      <c r="E57" s="16" t="s">
        <v>18</v>
      </c>
      <c r="F57" s="16">
        <v>5</v>
      </c>
      <c r="G57" s="16">
        <v>14</v>
      </c>
      <c r="H57" s="35">
        <f t="shared" si="1"/>
        <v>2.8</v>
      </c>
      <c r="I57" s="16">
        <v>1</v>
      </c>
      <c r="J57" s="16">
        <v>0</v>
      </c>
      <c r="K57" s="16">
        <v>2</v>
      </c>
      <c r="L57" s="16">
        <v>0</v>
      </c>
      <c r="M57" s="16">
        <v>0</v>
      </c>
      <c r="N57" s="16">
        <v>1</v>
      </c>
      <c r="O57" s="16">
        <v>1</v>
      </c>
      <c r="P57" s="16"/>
      <c r="Q57" s="15"/>
    </row>
    <row r="58" spans="1:17" x14ac:dyDescent="0.2">
      <c r="A58" s="31">
        <v>40452</v>
      </c>
      <c r="B58" s="16">
        <v>4</v>
      </c>
      <c r="C58" s="16" t="s">
        <v>36</v>
      </c>
      <c r="D58" s="16">
        <v>10</v>
      </c>
      <c r="E58" s="16" t="s">
        <v>18</v>
      </c>
      <c r="F58" s="16">
        <v>5</v>
      </c>
      <c r="G58" s="16">
        <v>2</v>
      </c>
      <c r="H58" s="35">
        <f t="shared" si="1"/>
        <v>0.4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/>
      <c r="Q58" s="15"/>
    </row>
    <row r="59" spans="1:17" x14ac:dyDescent="0.2">
      <c r="A59" s="31">
        <v>40433</v>
      </c>
      <c r="B59" s="16">
        <v>1</v>
      </c>
      <c r="C59" s="16" t="s">
        <v>37</v>
      </c>
      <c r="D59" s="16">
        <v>11</v>
      </c>
      <c r="E59" s="16" t="s">
        <v>19</v>
      </c>
      <c r="F59" s="16">
        <v>4</v>
      </c>
      <c r="G59" s="16">
        <v>6</v>
      </c>
      <c r="H59" s="35">
        <f t="shared" si="1"/>
        <v>1.5</v>
      </c>
      <c r="I59" s="16">
        <v>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/>
      <c r="Q59" s="15"/>
    </row>
    <row r="60" spans="1:17" x14ac:dyDescent="0.2">
      <c r="A60" s="31">
        <v>40444</v>
      </c>
      <c r="B60" s="16">
        <v>2</v>
      </c>
      <c r="C60" s="16" t="s">
        <v>37</v>
      </c>
      <c r="D60" s="16">
        <v>11</v>
      </c>
      <c r="E60" s="16" t="s">
        <v>19</v>
      </c>
      <c r="F60" s="16">
        <v>4</v>
      </c>
      <c r="G60" s="16">
        <v>7</v>
      </c>
      <c r="H60" s="35">
        <f t="shared" si="1"/>
        <v>1.75</v>
      </c>
      <c r="I60" s="16">
        <v>1</v>
      </c>
      <c r="J60" s="16">
        <v>0</v>
      </c>
      <c r="K60" s="16">
        <v>4</v>
      </c>
      <c r="L60" s="16">
        <v>0</v>
      </c>
      <c r="M60" s="16">
        <v>0</v>
      </c>
      <c r="N60" s="16">
        <v>1</v>
      </c>
      <c r="O60" s="16">
        <v>3</v>
      </c>
      <c r="P60" s="16"/>
      <c r="Q60" s="15"/>
    </row>
    <row r="61" spans="1:17" x14ac:dyDescent="0.2">
      <c r="A61" s="31">
        <v>40435</v>
      </c>
      <c r="B61" s="16">
        <v>1</v>
      </c>
      <c r="C61" s="16" t="s">
        <v>38</v>
      </c>
      <c r="D61" s="16">
        <v>12</v>
      </c>
      <c r="E61" s="16" t="s">
        <v>20</v>
      </c>
      <c r="F61" s="16">
        <v>3</v>
      </c>
      <c r="G61" s="16">
        <v>4</v>
      </c>
      <c r="H61" s="35">
        <f t="shared" si="1"/>
        <v>1.3333333333333333</v>
      </c>
      <c r="I61" s="16">
        <v>5</v>
      </c>
      <c r="J61" s="16">
        <v>0</v>
      </c>
      <c r="K61" s="16">
        <v>1</v>
      </c>
      <c r="L61" s="16">
        <v>0</v>
      </c>
      <c r="M61" s="16">
        <v>0</v>
      </c>
      <c r="N61" s="16">
        <v>1</v>
      </c>
      <c r="O61" s="16">
        <v>0</v>
      </c>
      <c r="P61" s="16"/>
      <c r="Q61" s="15"/>
    </row>
    <row r="62" spans="1:17" x14ac:dyDescent="0.2">
      <c r="A62" s="31">
        <v>40451</v>
      </c>
      <c r="B62" s="16">
        <v>2</v>
      </c>
      <c r="C62" s="16" t="s">
        <v>38</v>
      </c>
      <c r="D62" s="16">
        <v>12</v>
      </c>
      <c r="E62" s="16" t="s">
        <v>20</v>
      </c>
      <c r="F62" s="16">
        <v>3</v>
      </c>
      <c r="G62" s="16">
        <v>1</v>
      </c>
      <c r="H62" s="35">
        <f t="shared" si="1"/>
        <v>0.33333333333333331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/>
      <c r="Q62" s="15"/>
    </row>
    <row r="63" spans="1:17" x14ac:dyDescent="0.2">
      <c r="A63" s="31">
        <v>40443</v>
      </c>
      <c r="B63" s="16">
        <v>1</v>
      </c>
      <c r="C63" s="16" t="s">
        <v>124</v>
      </c>
      <c r="D63" s="16">
        <v>13</v>
      </c>
      <c r="E63" s="16" t="s">
        <v>21</v>
      </c>
      <c r="F63" s="16">
        <v>3</v>
      </c>
      <c r="G63" s="16">
        <v>1</v>
      </c>
      <c r="H63" s="35">
        <f t="shared" si="1"/>
        <v>0.33333333333333331</v>
      </c>
      <c r="I63" s="16">
        <v>0</v>
      </c>
      <c r="J63" s="16">
        <v>0</v>
      </c>
      <c r="K63" s="16">
        <v>1</v>
      </c>
      <c r="L63" s="16">
        <v>0</v>
      </c>
      <c r="M63" s="16">
        <v>0</v>
      </c>
      <c r="N63" s="16">
        <v>0</v>
      </c>
      <c r="O63" s="16">
        <v>1</v>
      </c>
      <c r="P63" s="16"/>
      <c r="Q63" s="15"/>
    </row>
    <row r="64" spans="1:17" x14ac:dyDescent="0.2">
      <c r="A64" s="31">
        <v>40443</v>
      </c>
      <c r="B64" s="16">
        <v>1</v>
      </c>
      <c r="C64" s="16" t="s">
        <v>123</v>
      </c>
      <c r="D64" s="16">
        <v>14</v>
      </c>
      <c r="E64" s="16" t="s">
        <v>22</v>
      </c>
      <c r="F64" s="16">
        <v>3</v>
      </c>
      <c r="G64" s="16">
        <v>1</v>
      </c>
      <c r="H64" s="35">
        <f t="shared" si="1"/>
        <v>0.33333333333333331</v>
      </c>
      <c r="I64" s="16">
        <v>0</v>
      </c>
      <c r="J64" s="16">
        <v>0</v>
      </c>
      <c r="K64" s="16">
        <v>1</v>
      </c>
      <c r="L64" s="16">
        <v>0</v>
      </c>
      <c r="M64" s="16">
        <v>0</v>
      </c>
      <c r="N64" s="16">
        <v>1</v>
      </c>
      <c r="O64" s="16">
        <v>0</v>
      </c>
      <c r="P64" s="16"/>
      <c r="Q64" s="15"/>
    </row>
    <row r="65" spans="1:17" ht="13.5" thickBot="1" x14ac:dyDescent="0.25">
      <c r="A65" s="31">
        <v>40443</v>
      </c>
      <c r="B65" s="16">
        <v>1</v>
      </c>
      <c r="C65" s="16" t="s">
        <v>40</v>
      </c>
      <c r="D65" s="16">
        <v>15</v>
      </c>
      <c r="E65" s="16" t="s">
        <v>126</v>
      </c>
      <c r="F65" s="17">
        <v>6</v>
      </c>
      <c r="G65" s="17">
        <v>1</v>
      </c>
      <c r="H65" s="66">
        <f t="shared" si="1"/>
        <v>0.16666666666666666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6"/>
      <c r="Q65" s="15"/>
    </row>
    <row r="66" spans="1:17" x14ac:dyDescent="0.2">
      <c r="A66" s="16"/>
      <c r="B66" s="16"/>
      <c r="C66" s="16"/>
      <c r="D66" s="16"/>
      <c r="E66" s="16"/>
      <c r="F66" s="2">
        <f>SUM(F4:F65)</f>
        <v>216</v>
      </c>
      <c r="G66" s="2">
        <f>SUM(G4:G65)</f>
        <v>481</v>
      </c>
      <c r="H66" s="64">
        <f t="shared" si="1"/>
        <v>2.2268518518518516</v>
      </c>
      <c r="I66" s="2">
        <f t="shared" ref="I66:O66" si="2">SUM(I4:I65)</f>
        <v>508</v>
      </c>
      <c r="J66" s="2">
        <f t="shared" si="2"/>
        <v>163</v>
      </c>
      <c r="K66" s="2">
        <f t="shared" si="2"/>
        <v>223</v>
      </c>
      <c r="L66" s="2">
        <f t="shared" si="2"/>
        <v>49</v>
      </c>
      <c r="M66" s="2">
        <f t="shared" si="2"/>
        <v>114</v>
      </c>
      <c r="N66" s="2">
        <f t="shared" si="2"/>
        <v>94</v>
      </c>
      <c r="O66" s="2">
        <f t="shared" si="2"/>
        <v>129</v>
      </c>
      <c r="P66" s="16"/>
      <c r="Q66" s="15"/>
    </row>
    <row r="67" spans="1:17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5"/>
    </row>
    <row r="68" spans="1:17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5"/>
    </row>
    <row r="69" spans="1:17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5"/>
    </row>
    <row r="70" spans="1:17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5"/>
    </row>
    <row r="71" spans="1:17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5"/>
    </row>
    <row r="72" spans="1:17" x14ac:dyDescent="0.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5"/>
    </row>
    <row r="73" spans="1:17" x14ac:dyDescent="0.2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5"/>
    </row>
    <row r="74" spans="1:17" x14ac:dyDescent="0.2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5"/>
    </row>
    <row r="75" spans="1:17" x14ac:dyDescent="0.2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5"/>
    </row>
    <row r="76" spans="1:17" x14ac:dyDescent="0.2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5"/>
    </row>
    <row r="77" spans="1:17" x14ac:dyDescent="0.2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5"/>
    </row>
    <row r="78" spans="1:17" x14ac:dyDescent="0.2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5"/>
    </row>
    <row r="79" spans="1:17" x14ac:dyDescent="0.2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5"/>
    </row>
    <row r="80" spans="1:17" x14ac:dyDescent="0.2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5"/>
    </row>
    <row r="81" spans="1:17" x14ac:dyDescent="0.2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5"/>
    </row>
    <row r="82" spans="1:17" x14ac:dyDescent="0.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5"/>
    </row>
    <row r="83" spans="1:17" x14ac:dyDescent="0.2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5"/>
    </row>
    <row r="84" spans="1:17" x14ac:dyDescent="0.2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5"/>
    </row>
    <row r="85" spans="1:17" x14ac:dyDescent="0.2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5"/>
    </row>
    <row r="86" spans="1:17" x14ac:dyDescent="0.2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5"/>
    </row>
    <row r="87" spans="1:17" x14ac:dyDescent="0.2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5"/>
    </row>
    <row r="88" spans="1:17" x14ac:dyDescent="0.2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5"/>
    </row>
    <row r="89" spans="1:17" x14ac:dyDescent="0.2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5"/>
    </row>
    <row r="90" spans="1:17" x14ac:dyDescent="0.2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5"/>
    </row>
    <row r="91" spans="1:17" x14ac:dyDescent="0.2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5"/>
    </row>
    <row r="92" spans="1:17" x14ac:dyDescent="0.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5"/>
    </row>
    <row r="93" spans="1:17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5"/>
    </row>
    <row r="94" spans="1:17" x14ac:dyDescent="0.2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5"/>
    </row>
    <row r="95" spans="1:17" x14ac:dyDescent="0.2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5"/>
    </row>
    <row r="96" spans="1:17" x14ac:dyDescent="0.2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5"/>
    </row>
    <row r="97" spans="1:17" x14ac:dyDescent="0.2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5"/>
    </row>
    <row r="98" spans="1:17" x14ac:dyDescent="0.2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5"/>
    </row>
    <row r="99" spans="1:17" x14ac:dyDescent="0.2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5"/>
    </row>
    <row r="100" spans="1:17" x14ac:dyDescent="0.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5"/>
    </row>
    <row r="101" spans="1:17" x14ac:dyDescent="0.2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5"/>
    </row>
    <row r="102" spans="1:17" x14ac:dyDescent="0.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5"/>
    </row>
    <row r="103" spans="1:17" x14ac:dyDescent="0.2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5"/>
    </row>
    <row r="104" spans="1:17" x14ac:dyDescent="0.2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5"/>
    </row>
    <row r="105" spans="1:17" x14ac:dyDescent="0.2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5"/>
    </row>
    <row r="106" spans="1:17" x14ac:dyDescent="0.2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5"/>
    </row>
    <row r="107" spans="1:17" x14ac:dyDescent="0.2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5"/>
    </row>
    <row r="108" spans="1:17" x14ac:dyDescent="0.2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5"/>
    </row>
    <row r="109" spans="1:17" x14ac:dyDescent="0.2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5"/>
    </row>
    <row r="110" spans="1:17" x14ac:dyDescent="0.2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5"/>
    </row>
    <row r="111" spans="1:17" x14ac:dyDescent="0.2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5"/>
    </row>
    <row r="112" spans="1:17" x14ac:dyDescent="0.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5"/>
    </row>
    <row r="113" spans="1:17" x14ac:dyDescent="0.2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5"/>
    </row>
    <row r="114" spans="1:17" x14ac:dyDescent="0.2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5"/>
    </row>
    <row r="115" spans="1:17" x14ac:dyDescent="0.2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5"/>
    </row>
    <row r="116" spans="1:17" x14ac:dyDescent="0.2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5"/>
    </row>
    <row r="117" spans="1:17" x14ac:dyDescent="0.2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5"/>
    </row>
    <row r="118" spans="1:17" x14ac:dyDescent="0.2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5"/>
    </row>
    <row r="119" spans="1:17" x14ac:dyDescent="0.2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5"/>
    </row>
    <row r="120" spans="1:17" x14ac:dyDescent="0.2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5"/>
    </row>
    <row r="121" spans="1:17" x14ac:dyDescent="0.2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5"/>
    </row>
    <row r="122" spans="1:17" x14ac:dyDescent="0.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5"/>
    </row>
    <row r="123" spans="1:17" x14ac:dyDescent="0.2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5"/>
    </row>
    <row r="124" spans="1:17" x14ac:dyDescent="0.2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5"/>
    </row>
    <row r="125" spans="1:17" x14ac:dyDescent="0.2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5"/>
    </row>
    <row r="126" spans="1:17" x14ac:dyDescent="0.2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5"/>
    </row>
    <row r="127" spans="1:17" x14ac:dyDescent="0.2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5"/>
    </row>
    <row r="128" spans="1:17" x14ac:dyDescent="0.2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5"/>
    </row>
    <row r="129" spans="1:17" x14ac:dyDescent="0.2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5"/>
    </row>
    <row r="130" spans="1:17" x14ac:dyDescent="0.2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5"/>
    </row>
    <row r="131" spans="1:17" x14ac:dyDescent="0.2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5"/>
    </row>
    <row r="132" spans="1:17" x14ac:dyDescent="0.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5"/>
    </row>
    <row r="133" spans="1:17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5"/>
    </row>
    <row r="134" spans="1:17" x14ac:dyDescent="0.2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5"/>
    </row>
    <row r="135" spans="1:17" x14ac:dyDescent="0.2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5"/>
    </row>
    <row r="136" spans="1:17" x14ac:dyDescent="0.2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5"/>
    </row>
    <row r="137" spans="1:17" x14ac:dyDescent="0.2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5"/>
    </row>
    <row r="138" spans="1:17" x14ac:dyDescent="0.2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5"/>
    </row>
    <row r="139" spans="1:17" x14ac:dyDescent="0.2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5"/>
    </row>
    <row r="140" spans="1:17" x14ac:dyDescent="0.2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5"/>
    </row>
    <row r="141" spans="1:17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5"/>
    </row>
    <row r="142" spans="1:17" x14ac:dyDescent="0.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5"/>
    </row>
    <row r="143" spans="1:17" x14ac:dyDescent="0.2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5"/>
    </row>
    <row r="144" spans="1:17" x14ac:dyDescent="0.2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5"/>
    </row>
    <row r="145" spans="1:17" x14ac:dyDescent="0.2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5"/>
    </row>
    <row r="146" spans="1:17" x14ac:dyDescent="0.2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5"/>
    </row>
    <row r="147" spans="1:17" x14ac:dyDescent="0.2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5"/>
    </row>
    <row r="148" spans="1:17" x14ac:dyDescent="0.2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5"/>
    </row>
    <row r="149" spans="1:17" x14ac:dyDescent="0.2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5"/>
    </row>
    <row r="150" spans="1:17" x14ac:dyDescent="0.2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5"/>
    </row>
    <row r="151" spans="1:17" x14ac:dyDescent="0.2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5"/>
    </row>
    <row r="152" spans="1:17" x14ac:dyDescent="0.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5"/>
    </row>
    <row r="153" spans="1:17" x14ac:dyDescent="0.2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5"/>
    </row>
    <row r="154" spans="1:17" x14ac:dyDescent="0.2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5"/>
    </row>
    <row r="155" spans="1:17" x14ac:dyDescent="0.2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5"/>
    </row>
    <row r="156" spans="1:17" x14ac:dyDescent="0.2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5"/>
    </row>
    <row r="157" spans="1:17" x14ac:dyDescent="0.2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5"/>
    </row>
    <row r="158" spans="1:17" x14ac:dyDescent="0.2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5"/>
    </row>
    <row r="159" spans="1:17" x14ac:dyDescent="0.2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5"/>
    </row>
    <row r="160" spans="1:17" x14ac:dyDescent="0.2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5"/>
    </row>
    <row r="161" spans="1:17" x14ac:dyDescent="0.2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5"/>
    </row>
    <row r="162" spans="1:17" x14ac:dyDescent="0.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5"/>
    </row>
    <row r="163" spans="1:17" x14ac:dyDescent="0.2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5"/>
    </row>
    <row r="164" spans="1:17" x14ac:dyDescent="0.2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5"/>
    </row>
    <row r="165" spans="1:17" x14ac:dyDescent="0.2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5"/>
    </row>
    <row r="166" spans="1:17" x14ac:dyDescent="0.2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5"/>
    </row>
    <row r="167" spans="1:17" x14ac:dyDescent="0.2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5"/>
    </row>
    <row r="168" spans="1:17" x14ac:dyDescent="0.2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5"/>
    </row>
    <row r="169" spans="1:17" x14ac:dyDescent="0.2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5"/>
    </row>
    <row r="170" spans="1:17" x14ac:dyDescent="0.2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5"/>
    </row>
    <row r="171" spans="1:17" x14ac:dyDescent="0.2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5"/>
    </row>
    <row r="172" spans="1:17" x14ac:dyDescent="0.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5"/>
    </row>
    <row r="173" spans="1:17" x14ac:dyDescent="0.2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5"/>
    </row>
    <row r="174" spans="1:17" x14ac:dyDescent="0.2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5"/>
    </row>
    <row r="175" spans="1:17" x14ac:dyDescent="0.2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5"/>
    </row>
    <row r="176" spans="1:17" x14ac:dyDescent="0.2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5"/>
    </row>
    <row r="177" spans="1:17" x14ac:dyDescent="0.2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5"/>
    </row>
    <row r="178" spans="1:17" x14ac:dyDescent="0.2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5"/>
    </row>
    <row r="179" spans="1:17" x14ac:dyDescent="0.2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5"/>
    </row>
    <row r="180" spans="1:17" x14ac:dyDescent="0.2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5"/>
    </row>
    <row r="181" spans="1:17" x14ac:dyDescent="0.2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5"/>
    </row>
    <row r="182" spans="1:17" x14ac:dyDescent="0.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5"/>
    </row>
    <row r="183" spans="1:17" x14ac:dyDescent="0.2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5"/>
    </row>
    <row r="184" spans="1:17" x14ac:dyDescent="0.2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5"/>
    </row>
    <row r="185" spans="1:17" x14ac:dyDescent="0.2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5"/>
    </row>
    <row r="186" spans="1:17" x14ac:dyDescent="0.2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5"/>
    </row>
    <row r="187" spans="1:17" x14ac:dyDescent="0.2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5"/>
    </row>
    <row r="188" spans="1:17" x14ac:dyDescent="0.2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5"/>
    </row>
    <row r="189" spans="1:17" x14ac:dyDescent="0.2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5"/>
    </row>
    <row r="190" spans="1:17" x14ac:dyDescent="0.2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5"/>
    </row>
    <row r="191" spans="1:17" x14ac:dyDescent="0.2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5"/>
    </row>
    <row r="192" spans="1:17" x14ac:dyDescent="0.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5"/>
    </row>
    <row r="193" spans="1:17" x14ac:dyDescent="0.2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5"/>
    </row>
    <row r="194" spans="1:17" x14ac:dyDescent="0.2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5"/>
    </row>
    <row r="195" spans="1:17" x14ac:dyDescent="0.2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5"/>
    </row>
    <row r="196" spans="1:17" x14ac:dyDescent="0.2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5"/>
    </row>
    <row r="197" spans="1:17" x14ac:dyDescent="0.2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5"/>
    </row>
    <row r="198" spans="1:17" x14ac:dyDescent="0.2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5"/>
    </row>
    <row r="199" spans="1:17" x14ac:dyDescent="0.2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5"/>
    </row>
    <row r="200" spans="1:17" x14ac:dyDescent="0.2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5"/>
    </row>
    <row r="201" spans="1:17" x14ac:dyDescent="0.2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5"/>
    </row>
    <row r="202" spans="1:17" x14ac:dyDescent="0.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5"/>
    </row>
    <row r="203" spans="1:17" x14ac:dyDescent="0.2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5"/>
    </row>
    <row r="204" spans="1:17" x14ac:dyDescent="0.2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5"/>
    </row>
    <row r="205" spans="1:17" x14ac:dyDescent="0.2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5"/>
    </row>
    <row r="206" spans="1:17" x14ac:dyDescent="0.2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5"/>
    </row>
    <row r="207" spans="1:17" x14ac:dyDescent="0.2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5"/>
    </row>
    <row r="208" spans="1:17" x14ac:dyDescent="0.2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5"/>
    </row>
    <row r="209" spans="1:17" x14ac:dyDescent="0.2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5"/>
    </row>
    <row r="210" spans="1:17" x14ac:dyDescent="0.2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5"/>
    </row>
    <row r="211" spans="1:17" x14ac:dyDescent="0.2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5"/>
    </row>
    <row r="212" spans="1:17" x14ac:dyDescent="0.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5"/>
    </row>
    <row r="213" spans="1:17" x14ac:dyDescent="0.2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5"/>
    </row>
    <row r="214" spans="1:17" x14ac:dyDescent="0.2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5"/>
    </row>
    <row r="215" spans="1:17" x14ac:dyDescent="0.2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5"/>
    </row>
    <row r="216" spans="1:17" x14ac:dyDescent="0.2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5"/>
    </row>
    <row r="217" spans="1:17" x14ac:dyDescent="0.2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5"/>
    </row>
    <row r="218" spans="1:17" x14ac:dyDescent="0.2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5"/>
    </row>
    <row r="219" spans="1:17" x14ac:dyDescent="0.2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5"/>
    </row>
    <row r="220" spans="1:17" x14ac:dyDescent="0.2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5"/>
    </row>
    <row r="221" spans="1:17" x14ac:dyDescent="0.2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5"/>
    </row>
    <row r="222" spans="1:17" x14ac:dyDescent="0.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5"/>
    </row>
    <row r="223" spans="1:17" x14ac:dyDescent="0.2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5"/>
    </row>
    <row r="224" spans="1:17" x14ac:dyDescent="0.2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5"/>
    </row>
    <row r="225" spans="1:17" x14ac:dyDescent="0.2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5"/>
    </row>
    <row r="226" spans="1:17" x14ac:dyDescent="0.2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5"/>
    </row>
    <row r="227" spans="1:17" x14ac:dyDescent="0.2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5"/>
    </row>
    <row r="228" spans="1:17" x14ac:dyDescent="0.2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5"/>
    </row>
    <row r="229" spans="1:17" x14ac:dyDescent="0.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5"/>
    </row>
    <row r="230" spans="1:17" x14ac:dyDescent="0.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5"/>
    </row>
    <row r="231" spans="1:17" x14ac:dyDescent="0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5"/>
    </row>
    <row r="232" spans="1:17" x14ac:dyDescent="0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5"/>
    </row>
    <row r="233" spans="1:17" x14ac:dyDescent="0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5"/>
    </row>
    <row r="234" spans="1:17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5"/>
    </row>
    <row r="235" spans="1:17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5"/>
    </row>
    <row r="236" spans="1:17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5"/>
    </row>
    <row r="237" spans="1:17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5"/>
    </row>
    <row r="238" spans="1:17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5"/>
    </row>
    <row r="239" spans="1:17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5"/>
    </row>
    <row r="240" spans="1:17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5"/>
    </row>
    <row r="241" spans="1:17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5"/>
    </row>
    <row r="242" spans="1:17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5"/>
    </row>
    <row r="243" spans="1:17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5"/>
    </row>
    <row r="244" spans="1:17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5"/>
    </row>
    <row r="245" spans="1:17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5"/>
    </row>
    <row r="246" spans="1:17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5"/>
    </row>
    <row r="247" spans="1:17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5"/>
    </row>
    <row r="248" spans="1:17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5"/>
    </row>
    <row r="249" spans="1:17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5"/>
    </row>
    <row r="250" spans="1:17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5"/>
    </row>
    <row r="251" spans="1:17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5"/>
    </row>
    <row r="252" spans="1:17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5"/>
    </row>
    <row r="253" spans="1:17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5"/>
    </row>
    <row r="254" spans="1:17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5"/>
    </row>
    <row r="255" spans="1:17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5"/>
    </row>
    <row r="256" spans="1:17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5"/>
    </row>
    <row r="257" spans="1:17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5"/>
    </row>
    <row r="258" spans="1:17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5"/>
    </row>
    <row r="259" spans="1:17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5"/>
    </row>
    <row r="260" spans="1:17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5"/>
    </row>
    <row r="261" spans="1:17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5"/>
    </row>
    <row r="262" spans="1:17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5"/>
    </row>
    <row r="263" spans="1:17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5"/>
    </row>
    <row r="264" spans="1:17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5"/>
    </row>
    <row r="265" spans="1:17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5"/>
    </row>
    <row r="266" spans="1:17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5"/>
    </row>
    <row r="267" spans="1:17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5"/>
    </row>
    <row r="268" spans="1:17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5"/>
    </row>
    <row r="269" spans="1:17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5"/>
    </row>
    <row r="270" spans="1:17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5"/>
    </row>
    <row r="271" spans="1:17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5"/>
    </row>
    <row r="272" spans="1:17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5"/>
    </row>
    <row r="273" spans="1:17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5"/>
    </row>
    <row r="274" spans="1:17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5"/>
    </row>
    <row r="275" spans="1:17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5"/>
    </row>
    <row r="276" spans="1:17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5"/>
    </row>
    <row r="277" spans="1:17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5"/>
    </row>
    <row r="278" spans="1:17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5"/>
    </row>
    <row r="279" spans="1:17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5"/>
    </row>
    <row r="280" spans="1:17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5"/>
    </row>
    <row r="281" spans="1:17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5"/>
    </row>
    <row r="282" spans="1:17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5"/>
    </row>
    <row r="283" spans="1:17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5"/>
    </row>
    <row r="284" spans="1:17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5"/>
    </row>
    <row r="285" spans="1:17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5"/>
    </row>
    <row r="286" spans="1:17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5"/>
    </row>
    <row r="287" spans="1:17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5"/>
    </row>
    <row r="288" spans="1:17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5"/>
    </row>
    <row r="289" spans="1:17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5"/>
    </row>
    <row r="290" spans="1:17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5"/>
    </row>
    <row r="291" spans="1:17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5"/>
    </row>
    <row r="292" spans="1:17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5"/>
    </row>
    <row r="293" spans="1:17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5"/>
    </row>
    <row r="294" spans="1:17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5"/>
    </row>
    <row r="295" spans="1:17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5"/>
    </row>
    <row r="296" spans="1:17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5"/>
    </row>
    <row r="297" spans="1:17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5"/>
    </row>
    <row r="298" spans="1:17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5"/>
    </row>
    <row r="299" spans="1:17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5"/>
    </row>
    <row r="300" spans="1:17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5"/>
    </row>
    <row r="301" spans="1:17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5"/>
    </row>
    <row r="302" spans="1:17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5"/>
    </row>
    <row r="303" spans="1:17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5"/>
    </row>
    <row r="304" spans="1:17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5"/>
    </row>
    <row r="305" spans="1:17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5"/>
    </row>
    <row r="306" spans="1:17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5"/>
    </row>
    <row r="307" spans="1:17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5"/>
    </row>
    <row r="308" spans="1:17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5"/>
    </row>
    <row r="309" spans="1:17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5"/>
    </row>
    <row r="310" spans="1:17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5"/>
    </row>
    <row r="311" spans="1:17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5"/>
    </row>
    <row r="312" spans="1:17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5"/>
    </row>
    <row r="313" spans="1:17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5"/>
    </row>
    <row r="314" spans="1:17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5"/>
    </row>
    <row r="315" spans="1:17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5"/>
    </row>
    <row r="316" spans="1:17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5"/>
    </row>
    <row r="317" spans="1:17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5"/>
    </row>
    <row r="318" spans="1:17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5"/>
    </row>
    <row r="319" spans="1:17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5"/>
    </row>
    <row r="320" spans="1:17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5"/>
    </row>
    <row r="321" spans="1:17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5"/>
    </row>
    <row r="322" spans="1:17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5"/>
    </row>
    <row r="323" spans="1:17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5"/>
    </row>
    <row r="324" spans="1:17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5"/>
    </row>
    <row r="325" spans="1:17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5"/>
    </row>
    <row r="326" spans="1:17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5"/>
    </row>
    <row r="327" spans="1:17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5"/>
    </row>
    <row r="328" spans="1:17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5"/>
    </row>
    <row r="329" spans="1:17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5"/>
    </row>
    <row r="330" spans="1:17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5"/>
    </row>
    <row r="331" spans="1:17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5"/>
    </row>
    <row r="332" spans="1:17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5"/>
    </row>
    <row r="333" spans="1:17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5"/>
    </row>
    <row r="334" spans="1:17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5"/>
    </row>
    <row r="335" spans="1:17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5"/>
    </row>
    <row r="336" spans="1:17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5"/>
    </row>
    <row r="337" spans="1:17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5"/>
    </row>
    <row r="338" spans="1:17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5"/>
    </row>
    <row r="339" spans="1:17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5"/>
    </row>
    <row r="340" spans="1:17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5"/>
    </row>
    <row r="341" spans="1:17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5"/>
    </row>
    <row r="342" spans="1:17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5"/>
    </row>
    <row r="343" spans="1:17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5"/>
    </row>
    <row r="344" spans="1:17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5"/>
    </row>
    <row r="345" spans="1:17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5"/>
    </row>
    <row r="346" spans="1:17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5"/>
    </row>
    <row r="347" spans="1:17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5"/>
    </row>
    <row r="348" spans="1:17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5"/>
    </row>
    <row r="349" spans="1:17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5"/>
    </row>
    <row r="350" spans="1:17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5"/>
    </row>
    <row r="351" spans="1:17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5"/>
    </row>
    <row r="352" spans="1:17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5"/>
    </row>
    <row r="353" spans="1:17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5"/>
    </row>
    <row r="354" spans="1:17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5"/>
    </row>
    <row r="355" spans="1:17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5"/>
    </row>
    <row r="356" spans="1:17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5"/>
    </row>
    <row r="357" spans="1:17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5"/>
    </row>
    <row r="358" spans="1:17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5"/>
    </row>
    <row r="359" spans="1:17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5"/>
    </row>
    <row r="360" spans="1:17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5"/>
    </row>
    <row r="361" spans="1:17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5"/>
    </row>
    <row r="362" spans="1:17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5"/>
    </row>
    <row r="363" spans="1:17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5"/>
    </row>
    <row r="364" spans="1:17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5"/>
    </row>
    <row r="365" spans="1:17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5"/>
    </row>
    <row r="366" spans="1:17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5"/>
    </row>
    <row r="367" spans="1:17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5"/>
    </row>
    <row r="368" spans="1:17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5"/>
    </row>
    <row r="369" spans="1:17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5"/>
    </row>
    <row r="370" spans="1:17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5"/>
    </row>
    <row r="371" spans="1:17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5"/>
    </row>
    <row r="372" spans="1:17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5"/>
    </row>
    <row r="373" spans="1:17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5"/>
    </row>
    <row r="374" spans="1:17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5"/>
    </row>
    <row r="375" spans="1:17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5"/>
    </row>
    <row r="376" spans="1:17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5"/>
    </row>
    <row r="377" spans="1:17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5"/>
    </row>
    <row r="378" spans="1:17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5"/>
    </row>
    <row r="379" spans="1:17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5"/>
    </row>
    <row r="380" spans="1:17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5"/>
    </row>
    <row r="381" spans="1:17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5"/>
    </row>
    <row r="382" spans="1:17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5"/>
    </row>
    <row r="383" spans="1:17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5"/>
    </row>
    <row r="384" spans="1:17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5"/>
    </row>
    <row r="385" spans="1:17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5"/>
    </row>
    <row r="386" spans="1:17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5"/>
    </row>
    <row r="387" spans="1:17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5"/>
    </row>
    <row r="388" spans="1:17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5"/>
    </row>
    <row r="389" spans="1:17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5"/>
    </row>
    <row r="390" spans="1:17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5"/>
    </row>
    <row r="391" spans="1:17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5"/>
    </row>
    <row r="392" spans="1:17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5"/>
    </row>
    <row r="393" spans="1:17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5"/>
    </row>
    <row r="394" spans="1:17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5"/>
    </row>
    <row r="395" spans="1:17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5"/>
    </row>
    <row r="396" spans="1:17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5"/>
    </row>
    <row r="397" spans="1:17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5"/>
    </row>
    <row r="398" spans="1:17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5"/>
    </row>
    <row r="399" spans="1:17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5"/>
    </row>
    <row r="400" spans="1:17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5"/>
    </row>
    <row r="401" spans="1:17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5"/>
    </row>
    <row r="402" spans="1:17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5"/>
    </row>
    <row r="403" spans="1:17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5"/>
    </row>
    <row r="404" spans="1:17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5"/>
    </row>
    <row r="405" spans="1:17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5"/>
    </row>
    <row r="406" spans="1:17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5"/>
    </row>
    <row r="407" spans="1:17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5"/>
    </row>
    <row r="408" spans="1:17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5"/>
    </row>
    <row r="409" spans="1:17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5"/>
    </row>
    <row r="410" spans="1:17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5"/>
    </row>
    <row r="411" spans="1:17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5"/>
    </row>
    <row r="412" spans="1:17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5"/>
    </row>
    <row r="413" spans="1:17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5"/>
    </row>
    <row r="414" spans="1:17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5"/>
    </row>
    <row r="415" spans="1:17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5"/>
    </row>
    <row r="416" spans="1:17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5"/>
    </row>
    <row r="417" spans="1:17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5"/>
    </row>
    <row r="418" spans="1:17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5"/>
    </row>
    <row r="419" spans="1:17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5"/>
    </row>
    <row r="420" spans="1:17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5"/>
    </row>
    <row r="421" spans="1:17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5"/>
    </row>
    <row r="422" spans="1:17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5"/>
    </row>
    <row r="423" spans="1:17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5"/>
    </row>
    <row r="424" spans="1:17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5"/>
    </row>
    <row r="425" spans="1:17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5"/>
    </row>
    <row r="426" spans="1:17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5"/>
    </row>
    <row r="427" spans="1:17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5"/>
    </row>
    <row r="428" spans="1:17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5"/>
    </row>
    <row r="429" spans="1:17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5"/>
    </row>
    <row r="430" spans="1:17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5"/>
    </row>
    <row r="431" spans="1:17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5"/>
    </row>
    <row r="432" spans="1:17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5"/>
    </row>
    <row r="433" spans="1:17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5"/>
    </row>
    <row r="434" spans="1:17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5"/>
    </row>
    <row r="435" spans="1:17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5"/>
    </row>
    <row r="436" spans="1:17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5"/>
    </row>
    <row r="437" spans="1:17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5"/>
    </row>
    <row r="438" spans="1:17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5"/>
    </row>
    <row r="439" spans="1:17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5"/>
    </row>
    <row r="440" spans="1:17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5"/>
    </row>
    <row r="441" spans="1:17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5"/>
    </row>
    <row r="442" spans="1:17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5"/>
    </row>
    <row r="443" spans="1:17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5"/>
    </row>
    <row r="444" spans="1:17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5"/>
    </row>
    <row r="445" spans="1:17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5"/>
    </row>
    <row r="446" spans="1:17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5"/>
    </row>
    <row r="447" spans="1:17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5"/>
    </row>
    <row r="448" spans="1:17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5"/>
    </row>
    <row r="449" spans="1:17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5"/>
    </row>
    <row r="450" spans="1:17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7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7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7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7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7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7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7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7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7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7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7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7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7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7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</sheetData>
  <sortState xmlns:xlrd2="http://schemas.microsoft.com/office/spreadsheetml/2017/richdata2" ref="A6:O65">
    <sortCondition ref="D6:D65"/>
  </sortState>
  <pageMargins left="0.7" right="0.7" top="0.75" bottom="0.75" header="0.3" footer="0.3"/>
  <pageSetup orientation="portrait" r:id="rId1"/>
  <ignoredErrors>
    <ignoredError sqref="H66" formula="1"/>
  </ignoredError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78"/>
  <sheetViews>
    <sheetView workbookViewId="0">
      <pane ySplit="3" topLeftCell="A22" activePane="bottomLeft" state="frozen"/>
      <selection pane="bottomLeft" activeCell="G49" sqref="G49:G60"/>
    </sheetView>
  </sheetViews>
  <sheetFormatPr defaultRowHeight="12.75" x14ac:dyDescent="0.2"/>
  <cols>
    <col min="5" max="5" width="31" customWidth="1"/>
    <col min="6" max="6" width="9.28515625" customWidth="1"/>
  </cols>
  <sheetData>
    <row r="1" spans="1:17" x14ac:dyDescent="0.2">
      <c r="A1" s="2"/>
      <c r="B1" s="2"/>
      <c r="C1" s="2"/>
      <c r="D1" s="2"/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7" x14ac:dyDescent="0.2">
      <c r="A2" s="2" t="s">
        <v>0</v>
      </c>
      <c r="B2" s="2" t="s">
        <v>1</v>
      </c>
      <c r="C2" s="2" t="s">
        <v>108</v>
      </c>
      <c r="D2" s="2" t="s">
        <v>113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7" ht="13.5" thickBot="1" x14ac:dyDescent="0.25">
      <c r="A3" s="1"/>
      <c r="D3" s="2" t="s">
        <v>114</v>
      </c>
      <c r="I3" s="1"/>
      <c r="J3" s="4" t="s">
        <v>6</v>
      </c>
      <c r="K3" s="4" t="s">
        <v>7</v>
      </c>
      <c r="L3" s="1" t="s">
        <v>109</v>
      </c>
      <c r="M3" s="21" t="s">
        <v>110</v>
      </c>
      <c r="N3" s="21" t="s">
        <v>111</v>
      </c>
      <c r="O3" s="21" t="s">
        <v>112</v>
      </c>
    </row>
    <row r="4" spans="1:17" x14ac:dyDescent="0.2">
      <c r="A4" s="23">
        <v>40058</v>
      </c>
      <c r="B4" s="8">
        <v>1</v>
      </c>
      <c r="C4" s="8" t="s">
        <v>118</v>
      </c>
      <c r="D4" s="8" t="s">
        <v>116</v>
      </c>
      <c r="E4" s="8" t="s">
        <v>117</v>
      </c>
      <c r="F4" s="8">
        <v>2</v>
      </c>
      <c r="G4" s="8">
        <v>7</v>
      </c>
      <c r="H4" s="9">
        <f>G4/F4</f>
        <v>3.5</v>
      </c>
      <c r="I4" s="8">
        <v>3</v>
      </c>
      <c r="J4" s="8">
        <v>0</v>
      </c>
      <c r="K4" s="8">
        <v>3</v>
      </c>
      <c r="L4" s="8">
        <v>0</v>
      </c>
      <c r="M4" s="8">
        <v>0</v>
      </c>
      <c r="N4" s="8">
        <v>1</v>
      </c>
      <c r="O4" s="8">
        <v>2</v>
      </c>
    </row>
    <row r="5" spans="1:17" x14ac:dyDescent="0.2">
      <c r="A5" s="23">
        <v>40065</v>
      </c>
      <c r="B5" s="8">
        <v>2</v>
      </c>
      <c r="C5" s="8" t="s">
        <v>118</v>
      </c>
      <c r="D5" s="8" t="s">
        <v>116</v>
      </c>
      <c r="E5" s="8" t="s">
        <v>117</v>
      </c>
      <c r="F5" s="78">
        <v>2</v>
      </c>
      <c r="G5" s="78">
        <v>3</v>
      </c>
      <c r="H5" s="79">
        <f>G5/F5</f>
        <v>1.5</v>
      </c>
      <c r="I5" s="78">
        <v>0</v>
      </c>
      <c r="J5" s="78">
        <v>3</v>
      </c>
      <c r="K5" s="78">
        <v>1</v>
      </c>
      <c r="L5" s="78">
        <v>1</v>
      </c>
      <c r="M5" s="78">
        <v>2</v>
      </c>
      <c r="N5" s="78">
        <v>0</v>
      </c>
      <c r="O5" s="78">
        <v>1</v>
      </c>
    </row>
    <row r="6" spans="1:17" x14ac:dyDescent="0.2">
      <c r="A6" s="23">
        <v>40052</v>
      </c>
      <c r="B6" s="8">
        <v>1</v>
      </c>
      <c r="C6" s="8" t="s">
        <v>27</v>
      </c>
      <c r="D6" s="8">
        <v>1</v>
      </c>
      <c r="E6" s="8" t="s">
        <v>9</v>
      </c>
      <c r="F6" s="8">
        <v>6</v>
      </c>
      <c r="G6" s="8">
        <v>7</v>
      </c>
      <c r="H6" s="9">
        <f t="shared" ref="H6:H37" si="0">G6/F6</f>
        <v>1.1666666666666667</v>
      </c>
      <c r="I6" s="8">
        <v>11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6"/>
      <c r="Q6" s="6"/>
    </row>
    <row r="7" spans="1:17" x14ac:dyDescent="0.2">
      <c r="A7" s="23">
        <v>40059</v>
      </c>
      <c r="B7" s="8">
        <v>2</v>
      </c>
      <c r="C7" s="8" t="s">
        <v>27</v>
      </c>
      <c r="D7" s="8">
        <v>1</v>
      </c>
      <c r="E7" s="8" t="s">
        <v>9</v>
      </c>
      <c r="F7" s="8">
        <v>6</v>
      </c>
      <c r="G7" s="8">
        <v>11</v>
      </c>
      <c r="H7" s="9">
        <f t="shared" si="0"/>
        <v>1.8333333333333333</v>
      </c>
      <c r="I7" s="8">
        <v>16</v>
      </c>
      <c r="J7" s="8">
        <v>3</v>
      </c>
      <c r="K7" s="8">
        <v>3</v>
      </c>
      <c r="L7" s="8">
        <v>0</v>
      </c>
      <c r="M7" s="8">
        <v>3</v>
      </c>
      <c r="N7" s="8">
        <v>1</v>
      </c>
      <c r="O7" s="8">
        <v>2</v>
      </c>
      <c r="P7" s="6"/>
      <c r="Q7" s="6"/>
    </row>
    <row r="8" spans="1:17" x14ac:dyDescent="0.2">
      <c r="A8" s="23">
        <v>40067</v>
      </c>
      <c r="B8" s="8">
        <v>3</v>
      </c>
      <c r="C8" s="8" t="s">
        <v>27</v>
      </c>
      <c r="D8" s="8">
        <v>1</v>
      </c>
      <c r="E8" s="8" t="s">
        <v>9</v>
      </c>
      <c r="F8" s="8">
        <v>6</v>
      </c>
      <c r="G8" s="8">
        <v>6</v>
      </c>
      <c r="H8" s="9">
        <f t="shared" si="0"/>
        <v>1</v>
      </c>
      <c r="I8" s="8">
        <v>11</v>
      </c>
      <c r="J8" s="8">
        <v>5</v>
      </c>
      <c r="K8" s="8">
        <v>4</v>
      </c>
      <c r="L8" s="8">
        <v>1</v>
      </c>
      <c r="M8" s="8">
        <v>4</v>
      </c>
      <c r="N8" s="8">
        <v>0</v>
      </c>
      <c r="O8" s="8">
        <v>4</v>
      </c>
      <c r="P8" s="6"/>
      <c r="Q8" s="6"/>
    </row>
    <row r="9" spans="1:17" x14ac:dyDescent="0.2">
      <c r="A9" s="23">
        <v>40080</v>
      </c>
      <c r="B9" s="8">
        <v>4</v>
      </c>
      <c r="C9" s="8" t="s">
        <v>27</v>
      </c>
      <c r="D9" s="8">
        <v>1</v>
      </c>
      <c r="E9" s="8" t="s">
        <v>9</v>
      </c>
      <c r="F9" s="8">
        <v>6</v>
      </c>
      <c r="G9" s="8">
        <v>2</v>
      </c>
      <c r="H9" s="9">
        <f t="shared" si="0"/>
        <v>0.33333333333333331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6"/>
      <c r="Q9" s="6"/>
    </row>
    <row r="10" spans="1:17" x14ac:dyDescent="0.2">
      <c r="A10" s="23">
        <v>40052</v>
      </c>
      <c r="B10" s="8">
        <v>1</v>
      </c>
      <c r="C10" s="8" t="s">
        <v>28</v>
      </c>
      <c r="D10" s="8">
        <v>2</v>
      </c>
      <c r="E10" s="8" t="s">
        <v>10</v>
      </c>
      <c r="F10" s="8">
        <v>3</v>
      </c>
      <c r="G10" s="8">
        <v>4</v>
      </c>
      <c r="H10" s="9">
        <f t="shared" si="0"/>
        <v>1.3333333333333333</v>
      </c>
      <c r="I10" s="8">
        <v>7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6"/>
      <c r="Q10" s="6"/>
    </row>
    <row r="11" spans="1:17" x14ac:dyDescent="0.2">
      <c r="A11" s="23">
        <v>40059</v>
      </c>
      <c r="B11" s="8">
        <v>2</v>
      </c>
      <c r="C11" s="8" t="s">
        <v>28</v>
      </c>
      <c r="D11" s="8">
        <v>2</v>
      </c>
      <c r="E11" s="8" t="s">
        <v>10</v>
      </c>
      <c r="F11" s="8">
        <v>3</v>
      </c>
      <c r="G11" s="8">
        <v>10</v>
      </c>
      <c r="H11" s="9">
        <f t="shared" si="0"/>
        <v>3.3333333333333335</v>
      </c>
      <c r="I11" s="8">
        <v>18</v>
      </c>
      <c r="J11" s="8">
        <v>2</v>
      </c>
      <c r="K11" s="8">
        <v>3</v>
      </c>
      <c r="L11" s="8">
        <v>2</v>
      </c>
      <c r="M11" s="8">
        <v>0</v>
      </c>
      <c r="N11" s="8">
        <v>0</v>
      </c>
      <c r="O11" s="8">
        <v>3</v>
      </c>
      <c r="P11" s="6"/>
      <c r="Q11" s="6"/>
    </row>
    <row r="12" spans="1:17" x14ac:dyDescent="0.2">
      <c r="A12" s="23">
        <v>40067</v>
      </c>
      <c r="B12" s="8">
        <v>3</v>
      </c>
      <c r="C12" s="8" t="s">
        <v>28</v>
      </c>
      <c r="D12" s="8">
        <v>2</v>
      </c>
      <c r="E12" s="8" t="s">
        <v>10</v>
      </c>
      <c r="F12" s="8">
        <v>3</v>
      </c>
      <c r="G12" s="8">
        <v>16</v>
      </c>
      <c r="H12" s="9">
        <f t="shared" si="0"/>
        <v>5.333333333333333</v>
      </c>
      <c r="I12" s="8">
        <v>13</v>
      </c>
      <c r="J12" s="8">
        <v>7</v>
      </c>
      <c r="K12" s="8">
        <v>4</v>
      </c>
      <c r="L12" s="8">
        <v>4</v>
      </c>
      <c r="M12" s="8">
        <v>3</v>
      </c>
      <c r="N12" s="8">
        <v>2</v>
      </c>
      <c r="O12" s="8">
        <v>2</v>
      </c>
      <c r="P12" s="6"/>
      <c r="Q12" s="6"/>
    </row>
    <row r="13" spans="1:17" x14ac:dyDescent="0.2">
      <c r="A13" s="23">
        <v>40080</v>
      </c>
      <c r="B13" s="8">
        <v>4</v>
      </c>
      <c r="C13" s="8" t="s">
        <v>28</v>
      </c>
      <c r="D13" s="8">
        <v>2</v>
      </c>
      <c r="E13" s="8" t="s">
        <v>10</v>
      </c>
      <c r="F13" s="8">
        <v>3</v>
      </c>
      <c r="G13" s="8">
        <v>1</v>
      </c>
      <c r="H13" s="9">
        <f t="shared" si="0"/>
        <v>0.33333333333333331</v>
      </c>
      <c r="I13" s="8">
        <v>0</v>
      </c>
      <c r="J13" s="8">
        <v>1</v>
      </c>
      <c r="K13" s="8">
        <v>0</v>
      </c>
      <c r="L13" s="8">
        <v>0</v>
      </c>
      <c r="M13" s="8">
        <v>1</v>
      </c>
      <c r="N13" s="8">
        <v>0</v>
      </c>
      <c r="O13" s="8">
        <v>0</v>
      </c>
      <c r="P13" s="6"/>
      <c r="Q13" s="6"/>
    </row>
    <row r="14" spans="1:17" x14ac:dyDescent="0.2">
      <c r="A14" s="23">
        <v>40052</v>
      </c>
      <c r="B14" s="8">
        <v>1</v>
      </c>
      <c r="C14" s="8" t="s">
        <v>29</v>
      </c>
      <c r="D14" s="8">
        <v>3</v>
      </c>
      <c r="E14" s="8" t="s">
        <v>11</v>
      </c>
      <c r="F14" s="8">
        <v>2</v>
      </c>
      <c r="G14" s="8">
        <v>0</v>
      </c>
      <c r="H14" s="9">
        <f t="shared" si="0"/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6"/>
      <c r="Q14" s="6"/>
    </row>
    <row r="15" spans="1:17" x14ac:dyDescent="0.2">
      <c r="A15" s="23">
        <v>40059</v>
      </c>
      <c r="B15" s="8">
        <v>2</v>
      </c>
      <c r="C15" s="8" t="s">
        <v>29</v>
      </c>
      <c r="D15" s="8">
        <v>3</v>
      </c>
      <c r="E15" s="8" t="s">
        <v>11</v>
      </c>
      <c r="F15" s="8">
        <v>2</v>
      </c>
      <c r="G15" s="8">
        <v>9</v>
      </c>
      <c r="H15" s="9">
        <f t="shared" si="0"/>
        <v>4.5</v>
      </c>
      <c r="I15" s="8">
        <v>2</v>
      </c>
      <c r="J15" s="8">
        <v>0</v>
      </c>
      <c r="K15" s="8">
        <v>1</v>
      </c>
      <c r="L15" s="8">
        <v>0</v>
      </c>
      <c r="M15" s="8">
        <v>0</v>
      </c>
      <c r="N15" s="8">
        <v>0</v>
      </c>
      <c r="O15" s="8">
        <v>1</v>
      </c>
      <c r="P15" s="6"/>
      <c r="Q15" s="6"/>
    </row>
    <row r="16" spans="1:17" x14ac:dyDescent="0.2">
      <c r="A16" s="23">
        <v>40067</v>
      </c>
      <c r="B16" s="8">
        <v>3</v>
      </c>
      <c r="C16" s="8" t="s">
        <v>29</v>
      </c>
      <c r="D16" s="8">
        <v>3</v>
      </c>
      <c r="E16" s="8" t="s">
        <v>11</v>
      </c>
      <c r="F16" s="8">
        <v>2</v>
      </c>
      <c r="G16" s="8">
        <v>12</v>
      </c>
      <c r="H16" s="9">
        <f t="shared" si="0"/>
        <v>6</v>
      </c>
      <c r="I16" s="8">
        <v>0</v>
      </c>
      <c r="J16" s="18">
        <v>2</v>
      </c>
      <c r="K16" s="18">
        <v>4</v>
      </c>
      <c r="L16" s="8">
        <v>2</v>
      </c>
      <c r="M16" s="8">
        <v>0</v>
      </c>
      <c r="N16" s="8">
        <v>2</v>
      </c>
      <c r="O16" s="8">
        <v>2</v>
      </c>
      <c r="P16" s="6"/>
      <c r="Q16" s="6"/>
    </row>
    <row r="17" spans="1:17" x14ac:dyDescent="0.2">
      <c r="A17" s="23">
        <v>40073</v>
      </c>
      <c r="B17" s="8">
        <v>4</v>
      </c>
      <c r="C17" s="8" t="s">
        <v>29</v>
      </c>
      <c r="D17" s="8">
        <v>3</v>
      </c>
      <c r="E17" s="8" t="s">
        <v>11</v>
      </c>
      <c r="F17" s="8">
        <v>2</v>
      </c>
      <c r="G17" s="8">
        <v>3</v>
      </c>
      <c r="H17" s="9">
        <f t="shared" si="0"/>
        <v>1.5</v>
      </c>
      <c r="I17" s="8">
        <v>2</v>
      </c>
      <c r="J17" s="18">
        <v>11</v>
      </c>
      <c r="K17" s="18">
        <v>6</v>
      </c>
      <c r="L17" s="8">
        <v>2</v>
      </c>
      <c r="M17" s="8">
        <v>9</v>
      </c>
      <c r="N17" s="8">
        <v>0</v>
      </c>
      <c r="O17" s="8">
        <v>6</v>
      </c>
      <c r="P17" s="6"/>
      <c r="Q17" s="6"/>
    </row>
    <row r="18" spans="1:17" x14ac:dyDescent="0.2">
      <c r="A18" s="23">
        <v>40080</v>
      </c>
      <c r="B18" s="8">
        <v>5</v>
      </c>
      <c r="C18" s="8" t="s">
        <v>29</v>
      </c>
      <c r="D18" s="8">
        <v>3</v>
      </c>
      <c r="E18" s="8" t="s">
        <v>11</v>
      </c>
      <c r="F18" s="8">
        <v>2</v>
      </c>
      <c r="G18" s="8">
        <v>0</v>
      </c>
      <c r="H18" s="9">
        <f t="shared" si="0"/>
        <v>0</v>
      </c>
      <c r="I18" s="8">
        <v>0</v>
      </c>
      <c r="J18" s="18">
        <v>1</v>
      </c>
      <c r="K18" s="18">
        <v>0</v>
      </c>
      <c r="L18" s="8">
        <v>0</v>
      </c>
      <c r="M18" s="8">
        <v>1</v>
      </c>
      <c r="N18" s="8">
        <v>0</v>
      </c>
      <c r="O18" s="8">
        <v>0</v>
      </c>
      <c r="P18" s="6"/>
      <c r="Q18" s="6"/>
    </row>
    <row r="19" spans="1:17" x14ac:dyDescent="0.2">
      <c r="A19" s="23">
        <v>40052</v>
      </c>
      <c r="B19" s="8">
        <v>1</v>
      </c>
      <c r="C19" s="8" t="s">
        <v>30</v>
      </c>
      <c r="D19" s="8">
        <v>4</v>
      </c>
      <c r="E19" s="8" t="s">
        <v>12</v>
      </c>
      <c r="F19" s="8">
        <v>5</v>
      </c>
      <c r="G19" s="8">
        <v>10</v>
      </c>
      <c r="H19" s="9">
        <f t="shared" si="0"/>
        <v>2</v>
      </c>
      <c r="I19" s="8">
        <v>4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6"/>
      <c r="Q19" s="6"/>
    </row>
    <row r="20" spans="1:17" x14ac:dyDescent="0.2">
      <c r="A20" s="23">
        <v>40059</v>
      </c>
      <c r="B20" s="8">
        <v>2</v>
      </c>
      <c r="C20" s="8" t="s">
        <v>30</v>
      </c>
      <c r="D20" s="8">
        <v>4</v>
      </c>
      <c r="E20" s="8" t="s">
        <v>12</v>
      </c>
      <c r="F20" s="8">
        <v>5</v>
      </c>
      <c r="G20" s="8">
        <v>17</v>
      </c>
      <c r="H20" s="9">
        <f t="shared" si="0"/>
        <v>3.4</v>
      </c>
      <c r="I20" s="8">
        <v>0</v>
      </c>
      <c r="J20" s="8">
        <v>1</v>
      </c>
      <c r="K20" s="8">
        <v>0</v>
      </c>
      <c r="L20" s="8">
        <v>0</v>
      </c>
      <c r="M20" s="8">
        <v>1</v>
      </c>
      <c r="N20" s="8">
        <v>0</v>
      </c>
      <c r="O20" s="8">
        <v>0</v>
      </c>
      <c r="P20" s="6"/>
      <c r="Q20" s="6"/>
    </row>
    <row r="21" spans="1:17" x14ac:dyDescent="0.2">
      <c r="A21" s="23">
        <v>40067</v>
      </c>
      <c r="B21" s="8">
        <v>3</v>
      </c>
      <c r="C21" s="8" t="s">
        <v>30</v>
      </c>
      <c r="D21" s="8">
        <v>4</v>
      </c>
      <c r="E21" s="8" t="s">
        <v>12</v>
      </c>
      <c r="F21" s="8">
        <v>5</v>
      </c>
      <c r="G21" s="8">
        <v>23</v>
      </c>
      <c r="H21" s="9">
        <f t="shared" si="0"/>
        <v>4.5999999999999996</v>
      </c>
      <c r="I21" s="8">
        <v>0</v>
      </c>
      <c r="J21" s="18">
        <v>3</v>
      </c>
      <c r="K21" s="18">
        <v>3</v>
      </c>
      <c r="L21" s="8">
        <v>0</v>
      </c>
      <c r="M21" s="8">
        <v>3</v>
      </c>
      <c r="N21" s="8">
        <v>2</v>
      </c>
      <c r="O21" s="8">
        <v>1</v>
      </c>
      <c r="P21" s="6"/>
      <c r="Q21" s="6"/>
    </row>
    <row r="22" spans="1:17" x14ac:dyDescent="0.2">
      <c r="A22" s="23">
        <v>40073</v>
      </c>
      <c r="B22" s="8">
        <v>4</v>
      </c>
      <c r="C22" s="8" t="s">
        <v>30</v>
      </c>
      <c r="D22" s="8">
        <v>4</v>
      </c>
      <c r="E22" s="8" t="s">
        <v>12</v>
      </c>
      <c r="F22" s="8">
        <v>5</v>
      </c>
      <c r="G22" s="8">
        <v>6</v>
      </c>
      <c r="H22" s="9">
        <f t="shared" si="0"/>
        <v>1.2</v>
      </c>
      <c r="I22" s="8">
        <v>0</v>
      </c>
      <c r="J22" s="18">
        <v>10</v>
      </c>
      <c r="K22" s="18">
        <v>6</v>
      </c>
      <c r="L22" s="8">
        <v>2</v>
      </c>
      <c r="M22" s="8">
        <v>8</v>
      </c>
      <c r="N22" s="8">
        <v>2</v>
      </c>
      <c r="O22" s="8">
        <v>4</v>
      </c>
      <c r="P22" s="6"/>
      <c r="Q22" s="6"/>
    </row>
    <row r="23" spans="1:17" x14ac:dyDescent="0.2">
      <c r="A23" s="23">
        <v>40080</v>
      </c>
      <c r="B23" s="8">
        <v>5</v>
      </c>
      <c r="C23" s="8" t="s">
        <v>30</v>
      </c>
      <c r="D23" s="8">
        <v>4</v>
      </c>
      <c r="E23" s="8" t="s">
        <v>12</v>
      </c>
      <c r="F23" s="8">
        <v>5</v>
      </c>
      <c r="G23" s="8">
        <v>1</v>
      </c>
      <c r="H23" s="9">
        <f t="shared" si="0"/>
        <v>0.2</v>
      </c>
      <c r="I23" s="8">
        <v>0</v>
      </c>
      <c r="J23" s="18">
        <v>1</v>
      </c>
      <c r="K23" s="18">
        <v>1</v>
      </c>
      <c r="L23" s="8">
        <v>1</v>
      </c>
      <c r="M23" s="8">
        <v>0</v>
      </c>
      <c r="N23" s="8">
        <v>0</v>
      </c>
      <c r="O23" s="8">
        <v>1</v>
      </c>
      <c r="P23" s="6"/>
      <c r="Q23" s="6"/>
    </row>
    <row r="24" spans="1:17" x14ac:dyDescent="0.2">
      <c r="A24" s="23">
        <v>40051</v>
      </c>
      <c r="B24" s="8">
        <v>1</v>
      </c>
      <c r="C24" s="8" t="s">
        <v>31</v>
      </c>
      <c r="D24" s="8">
        <v>5</v>
      </c>
      <c r="E24" s="8" t="s">
        <v>13</v>
      </c>
      <c r="F24" s="8">
        <v>2</v>
      </c>
      <c r="G24" s="8">
        <v>0</v>
      </c>
      <c r="H24" s="9">
        <f t="shared" si="0"/>
        <v>0</v>
      </c>
      <c r="I24" s="8">
        <v>2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6"/>
      <c r="Q24" s="6"/>
    </row>
    <row r="25" spans="1:17" x14ac:dyDescent="0.2">
      <c r="A25" s="23">
        <v>40059</v>
      </c>
      <c r="B25" s="8">
        <v>2</v>
      </c>
      <c r="C25" s="8" t="s">
        <v>31</v>
      </c>
      <c r="D25" s="8">
        <v>5</v>
      </c>
      <c r="E25" s="8" t="s">
        <v>13</v>
      </c>
      <c r="F25" s="8">
        <v>2</v>
      </c>
      <c r="G25" s="8">
        <v>5</v>
      </c>
      <c r="H25" s="9">
        <f t="shared" si="0"/>
        <v>2.5</v>
      </c>
      <c r="I25" s="8">
        <v>9</v>
      </c>
      <c r="J25" s="8">
        <v>0</v>
      </c>
      <c r="K25" s="8">
        <v>1</v>
      </c>
      <c r="L25" s="8">
        <v>0</v>
      </c>
      <c r="M25" s="8">
        <v>0</v>
      </c>
      <c r="N25" s="8">
        <v>1</v>
      </c>
      <c r="O25" s="8">
        <v>0</v>
      </c>
      <c r="P25" s="6"/>
      <c r="Q25" s="6"/>
    </row>
    <row r="26" spans="1:17" x14ac:dyDescent="0.2">
      <c r="A26" s="23">
        <v>40065</v>
      </c>
      <c r="B26" s="8">
        <v>3</v>
      </c>
      <c r="C26" s="8" t="s">
        <v>31</v>
      </c>
      <c r="D26" s="8">
        <v>5</v>
      </c>
      <c r="E26" s="8" t="s">
        <v>13</v>
      </c>
      <c r="F26" s="8">
        <v>2</v>
      </c>
      <c r="G26" s="8">
        <v>17</v>
      </c>
      <c r="H26" s="9">
        <f t="shared" si="0"/>
        <v>8.5</v>
      </c>
      <c r="I26" s="8">
        <v>28</v>
      </c>
      <c r="J26" s="8">
        <v>2</v>
      </c>
      <c r="K26" s="8">
        <v>4</v>
      </c>
      <c r="L26" s="8">
        <v>2</v>
      </c>
      <c r="M26" s="8">
        <v>0</v>
      </c>
      <c r="N26" s="8">
        <v>2</v>
      </c>
      <c r="O26" s="8">
        <v>2</v>
      </c>
      <c r="P26" s="6"/>
      <c r="Q26" s="6"/>
    </row>
    <row r="27" spans="1:17" x14ac:dyDescent="0.2">
      <c r="A27" s="23">
        <v>40070</v>
      </c>
      <c r="B27" s="8">
        <v>4</v>
      </c>
      <c r="C27" s="8" t="s">
        <v>31</v>
      </c>
      <c r="D27" s="8">
        <v>5</v>
      </c>
      <c r="E27" s="8" t="s">
        <v>13</v>
      </c>
      <c r="F27" s="8">
        <v>2</v>
      </c>
      <c r="G27" s="8">
        <v>6</v>
      </c>
      <c r="H27" s="9">
        <f t="shared" si="0"/>
        <v>3</v>
      </c>
      <c r="I27" s="8">
        <v>8</v>
      </c>
      <c r="J27" s="8">
        <v>7</v>
      </c>
      <c r="K27" s="8">
        <v>10</v>
      </c>
      <c r="L27" s="8">
        <v>2</v>
      </c>
      <c r="M27" s="8">
        <v>5</v>
      </c>
      <c r="N27" s="8">
        <v>6</v>
      </c>
      <c r="O27" s="8">
        <v>4</v>
      </c>
      <c r="P27" s="6"/>
      <c r="Q27" s="6"/>
    </row>
    <row r="28" spans="1:17" x14ac:dyDescent="0.2">
      <c r="A28" s="23">
        <v>40080</v>
      </c>
      <c r="B28" s="8">
        <v>5</v>
      </c>
      <c r="C28" s="8" t="s">
        <v>31</v>
      </c>
      <c r="D28" s="8">
        <v>5</v>
      </c>
      <c r="E28" s="8" t="s">
        <v>13</v>
      </c>
      <c r="F28" s="8">
        <v>2</v>
      </c>
      <c r="G28" s="8">
        <v>7</v>
      </c>
      <c r="H28" s="9">
        <f t="shared" si="0"/>
        <v>3.5</v>
      </c>
      <c r="I28" s="8">
        <v>0</v>
      </c>
      <c r="J28" s="8">
        <v>2</v>
      </c>
      <c r="K28" s="8">
        <v>1</v>
      </c>
      <c r="L28" s="8">
        <v>0</v>
      </c>
      <c r="M28" s="8">
        <v>2</v>
      </c>
      <c r="N28" s="8">
        <v>1</v>
      </c>
      <c r="O28" s="8">
        <v>0</v>
      </c>
      <c r="P28" s="6"/>
      <c r="Q28" s="6"/>
    </row>
    <row r="29" spans="1:17" x14ac:dyDescent="0.2">
      <c r="A29" s="23">
        <v>40084</v>
      </c>
      <c r="B29" s="8">
        <v>6</v>
      </c>
      <c r="C29" s="8" t="s">
        <v>31</v>
      </c>
      <c r="D29" s="8">
        <v>5</v>
      </c>
      <c r="E29" s="8" t="s">
        <v>13</v>
      </c>
      <c r="F29" s="8">
        <v>2</v>
      </c>
      <c r="G29" s="8">
        <v>0</v>
      </c>
      <c r="H29" s="9">
        <f t="shared" si="0"/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6"/>
      <c r="Q29" s="6"/>
    </row>
    <row r="30" spans="1:17" x14ac:dyDescent="0.2">
      <c r="A30" s="23">
        <v>40051</v>
      </c>
      <c r="B30" s="8">
        <v>1</v>
      </c>
      <c r="C30" s="8" t="s">
        <v>32</v>
      </c>
      <c r="D30" s="8">
        <v>6</v>
      </c>
      <c r="E30" s="8" t="s">
        <v>14</v>
      </c>
      <c r="F30" s="8">
        <v>4</v>
      </c>
      <c r="G30" s="8">
        <v>1</v>
      </c>
      <c r="H30" s="9">
        <f t="shared" si="0"/>
        <v>0.25</v>
      </c>
      <c r="I30" s="8">
        <v>2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6"/>
      <c r="Q30" s="6"/>
    </row>
    <row r="31" spans="1:17" x14ac:dyDescent="0.2">
      <c r="A31" s="23">
        <v>40059</v>
      </c>
      <c r="B31" s="8">
        <v>2</v>
      </c>
      <c r="C31" s="8" t="s">
        <v>32</v>
      </c>
      <c r="D31" s="8">
        <v>6</v>
      </c>
      <c r="E31" s="8" t="s">
        <v>14</v>
      </c>
      <c r="F31" s="8">
        <v>4</v>
      </c>
      <c r="G31" s="8">
        <v>15</v>
      </c>
      <c r="H31" s="9">
        <f t="shared" si="0"/>
        <v>3.75</v>
      </c>
      <c r="I31" s="8">
        <v>27</v>
      </c>
      <c r="J31" s="8">
        <v>2</v>
      </c>
      <c r="K31" s="8">
        <v>1</v>
      </c>
      <c r="L31" s="8">
        <v>1</v>
      </c>
      <c r="M31" s="8">
        <v>1</v>
      </c>
      <c r="N31" s="8">
        <v>1</v>
      </c>
      <c r="O31" s="8">
        <v>0</v>
      </c>
      <c r="P31" s="6"/>
      <c r="Q31" s="6"/>
    </row>
    <row r="32" spans="1:17" x14ac:dyDescent="0.2">
      <c r="A32" s="23">
        <v>40065</v>
      </c>
      <c r="B32" s="8">
        <v>3</v>
      </c>
      <c r="C32" s="8" t="s">
        <v>32</v>
      </c>
      <c r="D32" s="8">
        <v>6</v>
      </c>
      <c r="E32" s="8" t="s">
        <v>14</v>
      </c>
      <c r="F32" s="8">
        <v>4</v>
      </c>
      <c r="G32" s="8">
        <v>20</v>
      </c>
      <c r="H32" s="9">
        <f t="shared" si="0"/>
        <v>5</v>
      </c>
      <c r="I32" s="8">
        <v>35</v>
      </c>
      <c r="J32" s="8">
        <v>17</v>
      </c>
      <c r="K32" s="8">
        <v>5</v>
      </c>
      <c r="L32" s="8">
        <v>6</v>
      </c>
      <c r="M32" s="8">
        <v>11</v>
      </c>
      <c r="N32" s="8">
        <v>2</v>
      </c>
      <c r="O32" s="8">
        <v>3</v>
      </c>
      <c r="P32" s="6"/>
      <c r="Q32" s="6"/>
    </row>
    <row r="33" spans="1:17" x14ac:dyDescent="0.2">
      <c r="A33" s="23">
        <v>40070</v>
      </c>
      <c r="B33" s="8">
        <v>4</v>
      </c>
      <c r="C33" s="8" t="s">
        <v>32</v>
      </c>
      <c r="D33" s="8">
        <v>6</v>
      </c>
      <c r="E33" s="8" t="s">
        <v>14</v>
      </c>
      <c r="F33" s="8">
        <v>4</v>
      </c>
      <c r="G33" s="8">
        <v>23</v>
      </c>
      <c r="H33" s="9">
        <f t="shared" si="0"/>
        <v>5.75</v>
      </c>
      <c r="I33" s="8">
        <v>28</v>
      </c>
      <c r="J33" s="8">
        <v>38</v>
      </c>
      <c r="K33" s="8">
        <v>19</v>
      </c>
      <c r="L33" s="8">
        <v>22</v>
      </c>
      <c r="M33" s="8">
        <v>16</v>
      </c>
      <c r="N33" s="8">
        <v>12</v>
      </c>
      <c r="O33" s="8">
        <v>7</v>
      </c>
      <c r="P33" s="6"/>
      <c r="Q33" s="6"/>
    </row>
    <row r="34" spans="1:17" x14ac:dyDescent="0.2">
      <c r="A34" s="23">
        <v>40080</v>
      </c>
      <c r="B34" s="8">
        <v>5</v>
      </c>
      <c r="C34" s="8" t="s">
        <v>32</v>
      </c>
      <c r="D34" s="8">
        <v>6</v>
      </c>
      <c r="E34" s="8" t="s">
        <v>14</v>
      </c>
      <c r="F34" s="8">
        <v>4</v>
      </c>
      <c r="G34" s="8">
        <v>13</v>
      </c>
      <c r="H34" s="9">
        <f t="shared" si="0"/>
        <v>3.25</v>
      </c>
      <c r="I34" s="8">
        <v>1</v>
      </c>
      <c r="J34" s="8">
        <v>3</v>
      </c>
      <c r="K34" s="8">
        <v>8</v>
      </c>
      <c r="L34" s="8">
        <v>2</v>
      </c>
      <c r="M34" s="8">
        <v>1</v>
      </c>
      <c r="N34" s="8">
        <v>3</v>
      </c>
      <c r="O34" s="8">
        <v>5</v>
      </c>
      <c r="P34" s="6"/>
      <c r="Q34" s="6"/>
    </row>
    <row r="35" spans="1:17" x14ac:dyDescent="0.2">
      <c r="A35" s="23">
        <v>40084</v>
      </c>
      <c r="B35" s="8">
        <v>6</v>
      </c>
      <c r="C35" s="8" t="s">
        <v>32</v>
      </c>
      <c r="D35" s="8">
        <v>6</v>
      </c>
      <c r="E35" s="8" t="s">
        <v>14</v>
      </c>
      <c r="F35" s="8">
        <v>4</v>
      </c>
      <c r="G35" s="8">
        <v>0</v>
      </c>
      <c r="H35" s="9">
        <f t="shared" si="0"/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6"/>
      <c r="Q35" s="6"/>
    </row>
    <row r="36" spans="1:17" x14ac:dyDescent="0.2">
      <c r="A36" s="23">
        <v>40051</v>
      </c>
      <c r="B36" s="8">
        <v>1</v>
      </c>
      <c r="C36" s="8" t="s">
        <v>33</v>
      </c>
      <c r="D36" s="8">
        <v>7</v>
      </c>
      <c r="E36" s="8" t="s">
        <v>15</v>
      </c>
      <c r="F36" s="8">
        <v>3</v>
      </c>
      <c r="G36" s="8">
        <v>1</v>
      </c>
      <c r="H36" s="9">
        <f t="shared" si="0"/>
        <v>0.33333333333333331</v>
      </c>
      <c r="I36" s="8">
        <v>5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6"/>
      <c r="Q36" s="6"/>
    </row>
    <row r="37" spans="1:17" x14ac:dyDescent="0.2">
      <c r="A37" s="23">
        <v>40059</v>
      </c>
      <c r="B37" s="8">
        <v>2</v>
      </c>
      <c r="C37" s="8" t="s">
        <v>33</v>
      </c>
      <c r="D37" s="8">
        <v>7</v>
      </c>
      <c r="E37" s="8" t="s">
        <v>15</v>
      </c>
      <c r="F37" s="8">
        <v>3</v>
      </c>
      <c r="G37" s="8">
        <v>4</v>
      </c>
      <c r="H37" s="9">
        <f t="shared" si="0"/>
        <v>1.3333333333333333</v>
      </c>
      <c r="I37" s="8">
        <v>7</v>
      </c>
      <c r="J37" s="8">
        <v>2</v>
      </c>
      <c r="K37" s="8">
        <v>1</v>
      </c>
      <c r="L37" s="8">
        <v>1</v>
      </c>
      <c r="M37" s="8">
        <v>1</v>
      </c>
      <c r="N37" s="8">
        <v>0</v>
      </c>
      <c r="O37" s="8">
        <v>1</v>
      </c>
      <c r="P37" s="6"/>
      <c r="Q37" s="6"/>
    </row>
    <row r="38" spans="1:17" x14ac:dyDescent="0.2">
      <c r="A38" s="23">
        <v>40066</v>
      </c>
      <c r="B38" s="8">
        <v>3</v>
      </c>
      <c r="C38" s="8" t="s">
        <v>33</v>
      </c>
      <c r="D38" s="8">
        <v>7</v>
      </c>
      <c r="E38" s="8" t="s">
        <v>15</v>
      </c>
      <c r="F38" s="8">
        <v>3</v>
      </c>
      <c r="G38" s="8">
        <v>18</v>
      </c>
      <c r="H38" s="9">
        <f t="shared" ref="H38:H63" si="1">G38/F38</f>
        <v>6</v>
      </c>
      <c r="I38" s="8">
        <v>24</v>
      </c>
      <c r="J38" s="8">
        <v>7</v>
      </c>
      <c r="K38" s="8">
        <v>9</v>
      </c>
      <c r="L38" s="8">
        <v>5</v>
      </c>
      <c r="M38" s="8">
        <v>2</v>
      </c>
      <c r="N38" s="8">
        <v>2</v>
      </c>
      <c r="O38" s="8">
        <v>7</v>
      </c>
      <c r="P38" s="6"/>
      <c r="Q38" s="6"/>
    </row>
    <row r="39" spans="1:17" x14ac:dyDescent="0.2">
      <c r="A39" s="23">
        <v>40073</v>
      </c>
      <c r="B39" s="8">
        <v>4</v>
      </c>
      <c r="C39" s="8" t="s">
        <v>33</v>
      </c>
      <c r="D39" s="8">
        <v>7</v>
      </c>
      <c r="E39" s="8" t="s">
        <v>15</v>
      </c>
      <c r="F39" s="8">
        <v>3</v>
      </c>
      <c r="G39" s="8">
        <v>14</v>
      </c>
      <c r="H39" s="9">
        <f t="shared" si="1"/>
        <v>4.666666666666667</v>
      </c>
      <c r="I39" s="8">
        <v>7</v>
      </c>
      <c r="J39" s="8">
        <v>18</v>
      </c>
      <c r="K39" s="8">
        <v>15</v>
      </c>
      <c r="L39" s="8">
        <v>13</v>
      </c>
      <c r="M39" s="8">
        <v>5</v>
      </c>
      <c r="N39" s="8">
        <v>10</v>
      </c>
      <c r="O39" s="8">
        <v>5</v>
      </c>
      <c r="P39" s="6"/>
      <c r="Q39" s="6"/>
    </row>
    <row r="40" spans="1:17" x14ac:dyDescent="0.2">
      <c r="A40" s="23">
        <v>40080</v>
      </c>
      <c r="B40" s="8">
        <v>5</v>
      </c>
      <c r="C40" s="8" t="s">
        <v>33</v>
      </c>
      <c r="D40" s="8">
        <v>7</v>
      </c>
      <c r="E40" s="8" t="s">
        <v>15</v>
      </c>
      <c r="F40" s="8">
        <v>3</v>
      </c>
      <c r="G40" s="8">
        <v>0</v>
      </c>
      <c r="H40" s="9">
        <f t="shared" si="1"/>
        <v>0</v>
      </c>
      <c r="I40" s="8">
        <v>0</v>
      </c>
      <c r="J40" s="8">
        <v>1</v>
      </c>
      <c r="K40" s="8">
        <v>6</v>
      </c>
      <c r="L40" s="8">
        <v>1</v>
      </c>
      <c r="M40" s="8">
        <v>0</v>
      </c>
      <c r="N40" s="8">
        <v>0</v>
      </c>
      <c r="O40" s="8">
        <v>6</v>
      </c>
      <c r="P40" s="6"/>
      <c r="Q40" s="6"/>
    </row>
    <row r="41" spans="1:17" x14ac:dyDescent="0.2">
      <c r="A41" s="23">
        <v>40084</v>
      </c>
      <c r="B41" s="8">
        <v>6</v>
      </c>
      <c r="C41" s="8" t="s">
        <v>33</v>
      </c>
      <c r="D41" s="8">
        <v>7</v>
      </c>
      <c r="E41" s="8" t="s">
        <v>15</v>
      </c>
      <c r="F41" s="8">
        <v>3</v>
      </c>
      <c r="G41" s="8">
        <v>0</v>
      </c>
      <c r="H41" s="9">
        <f t="shared" si="1"/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6"/>
      <c r="Q41" s="6"/>
    </row>
    <row r="42" spans="1:17" x14ac:dyDescent="0.2">
      <c r="A42" s="25">
        <v>40036</v>
      </c>
      <c r="B42" s="26" t="s">
        <v>120</v>
      </c>
      <c r="C42" s="26" t="s">
        <v>33</v>
      </c>
      <c r="D42" s="26">
        <v>7</v>
      </c>
      <c r="E42" s="26" t="s">
        <v>15</v>
      </c>
      <c r="F42" s="26">
        <v>3</v>
      </c>
      <c r="G42" s="26">
        <v>0</v>
      </c>
      <c r="H42" s="27">
        <f t="shared" si="1"/>
        <v>0</v>
      </c>
      <c r="I42" s="26">
        <v>1</v>
      </c>
      <c r="J42" s="26">
        <v>1</v>
      </c>
      <c r="K42" s="26">
        <v>0</v>
      </c>
      <c r="L42" s="26">
        <v>0</v>
      </c>
      <c r="M42" s="26">
        <v>1</v>
      </c>
      <c r="N42" s="26">
        <v>0</v>
      </c>
      <c r="O42" s="26">
        <v>0</v>
      </c>
      <c r="P42" s="6"/>
      <c r="Q42" s="6"/>
    </row>
    <row r="43" spans="1:17" x14ac:dyDescent="0.2">
      <c r="A43" s="23">
        <v>40051</v>
      </c>
      <c r="B43" s="8">
        <v>1</v>
      </c>
      <c r="C43" s="8" t="s">
        <v>34</v>
      </c>
      <c r="D43" s="8">
        <v>8</v>
      </c>
      <c r="E43" s="8" t="s">
        <v>16</v>
      </c>
      <c r="F43" s="8">
        <v>3</v>
      </c>
      <c r="G43" s="8">
        <v>1</v>
      </c>
      <c r="H43" s="9">
        <f t="shared" si="1"/>
        <v>0.33333333333333331</v>
      </c>
      <c r="I43" s="8">
        <v>5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6"/>
      <c r="Q43" s="6"/>
    </row>
    <row r="44" spans="1:17" x14ac:dyDescent="0.2">
      <c r="A44" s="23">
        <v>40059</v>
      </c>
      <c r="B44" s="8">
        <v>2</v>
      </c>
      <c r="C44" s="8" t="s">
        <v>34</v>
      </c>
      <c r="D44" s="8">
        <v>8</v>
      </c>
      <c r="E44" s="8" t="s">
        <v>16</v>
      </c>
      <c r="F44" s="8">
        <v>3</v>
      </c>
      <c r="G44" s="8">
        <v>8</v>
      </c>
      <c r="H44" s="9">
        <f t="shared" si="1"/>
        <v>2.6666666666666665</v>
      </c>
      <c r="I44" s="8">
        <v>29</v>
      </c>
      <c r="J44" s="8">
        <v>2</v>
      </c>
      <c r="K44" s="8">
        <v>2</v>
      </c>
      <c r="L44" s="8">
        <v>1</v>
      </c>
      <c r="M44" s="8">
        <v>1</v>
      </c>
      <c r="N44" s="8">
        <v>0</v>
      </c>
      <c r="O44" s="8">
        <v>2</v>
      </c>
      <c r="P44" s="6"/>
      <c r="Q44" s="6"/>
    </row>
    <row r="45" spans="1:17" x14ac:dyDescent="0.2">
      <c r="A45" s="23">
        <v>40066</v>
      </c>
      <c r="B45" s="8">
        <v>3</v>
      </c>
      <c r="C45" s="8" t="s">
        <v>34</v>
      </c>
      <c r="D45" s="8">
        <v>8</v>
      </c>
      <c r="E45" s="8" t="s">
        <v>16</v>
      </c>
      <c r="F45" s="8">
        <v>3</v>
      </c>
      <c r="G45" s="8">
        <v>46</v>
      </c>
      <c r="H45" s="9">
        <f t="shared" si="1"/>
        <v>15.333333333333334</v>
      </c>
      <c r="I45" s="8">
        <v>118</v>
      </c>
      <c r="J45" s="8">
        <v>15</v>
      </c>
      <c r="K45" s="8">
        <v>14</v>
      </c>
      <c r="L45" s="8">
        <v>5</v>
      </c>
      <c r="M45" s="8">
        <v>10</v>
      </c>
      <c r="N45" s="8">
        <v>5</v>
      </c>
      <c r="O45" s="8">
        <v>9</v>
      </c>
      <c r="P45" s="6"/>
      <c r="Q45" s="6"/>
    </row>
    <row r="46" spans="1:17" x14ac:dyDescent="0.2">
      <c r="A46" s="23">
        <v>40073</v>
      </c>
      <c r="B46" s="8">
        <v>4</v>
      </c>
      <c r="C46" s="8" t="s">
        <v>34</v>
      </c>
      <c r="D46" s="8">
        <v>8</v>
      </c>
      <c r="E46" s="8" t="s">
        <v>16</v>
      </c>
      <c r="F46" s="8">
        <v>3</v>
      </c>
      <c r="G46" s="8">
        <v>43</v>
      </c>
      <c r="H46" s="9">
        <f t="shared" si="1"/>
        <v>14.333333333333334</v>
      </c>
      <c r="I46" s="8">
        <v>33</v>
      </c>
      <c r="J46" s="8">
        <v>46</v>
      </c>
      <c r="K46" s="8">
        <v>68</v>
      </c>
      <c r="L46" s="8">
        <v>21</v>
      </c>
      <c r="M46" s="8">
        <v>25</v>
      </c>
      <c r="N46" s="8">
        <v>32</v>
      </c>
      <c r="O46" s="8">
        <v>36</v>
      </c>
      <c r="P46" s="6"/>
      <c r="Q46" s="6"/>
    </row>
    <row r="47" spans="1:17" x14ac:dyDescent="0.2">
      <c r="A47" s="23">
        <v>40080</v>
      </c>
      <c r="B47" s="8">
        <v>5</v>
      </c>
      <c r="C47" s="8" t="s">
        <v>34</v>
      </c>
      <c r="D47" s="8">
        <v>8</v>
      </c>
      <c r="E47" s="8" t="s">
        <v>16</v>
      </c>
      <c r="F47" s="8">
        <v>3</v>
      </c>
      <c r="G47" s="8">
        <v>6</v>
      </c>
      <c r="H47" s="9">
        <f t="shared" si="1"/>
        <v>2</v>
      </c>
      <c r="I47" s="8">
        <v>1</v>
      </c>
      <c r="J47" s="8">
        <v>8</v>
      </c>
      <c r="K47" s="8">
        <v>16</v>
      </c>
      <c r="L47" s="8">
        <v>2</v>
      </c>
      <c r="M47" s="8">
        <v>6</v>
      </c>
      <c r="N47" s="8">
        <v>8</v>
      </c>
      <c r="O47" s="8">
        <v>8</v>
      </c>
      <c r="P47" s="6"/>
      <c r="Q47" s="6"/>
    </row>
    <row r="48" spans="1:17" x14ac:dyDescent="0.2">
      <c r="A48" s="23">
        <v>40084</v>
      </c>
      <c r="B48" s="8">
        <v>6</v>
      </c>
      <c r="C48" s="8" t="s">
        <v>34</v>
      </c>
      <c r="D48" s="8">
        <v>8</v>
      </c>
      <c r="E48" s="8" t="s">
        <v>16</v>
      </c>
      <c r="F48" s="8">
        <v>3</v>
      </c>
      <c r="G48" s="8">
        <v>0</v>
      </c>
      <c r="H48" s="9">
        <f t="shared" si="1"/>
        <v>0</v>
      </c>
      <c r="I48" s="8">
        <v>0</v>
      </c>
      <c r="J48" s="8">
        <v>0</v>
      </c>
      <c r="K48" s="8">
        <v>1</v>
      </c>
      <c r="L48" s="8">
        <v>0</v>
      </c>
      <c r="M48" s="8">
        <v>0</v>
      </c>
      <c r="N48" s="8">
        <v>0</v>
      </c>
      <c r="O48" s="8">
        <v>1</v>
      </c>
      <c r="P48" s="6"/>
      <c r="Q48" s="6"/>
    </row>
    <row r="49" spans="1:17" x14ac:dyDescent="0.2">
      <c r="A49" s="23">
        <v>40052</v>
      </c>
      <c r="B49" s="8">
        <v>1</v>
      </c>
      <c r="C49" s="8" t="s">
        <v>35</v>
      </c>
      <c r="D49" s="8">
        <v>9</v>
      </c>
      <c r="E49" s="8" t="s">
        <v>17</v>
      </c>
      <c r="F49" s="8">
        <v>4</v>
      </c>
      <c r="G49" s="8">
        <v>0</v>
      </c>
      <c r="H49" s="9">
        <f t="shared" si="1"/>
        <v>0</v>
      </c>
      <c r="I49" s="8">
        <v>0</v>
      </c>
      <c r="J49" s="8">
        <v>1</v>
      </c>
      <c r="K49" s="8">
        <v>0</v>
      </c>
      <c r="L49" s="8">
        <v>0</v>
      </c>
      <c r="M49" s="8">
        <v>1</v>
      </c>
      <c r="N49" s="8">
        <v>0</v>
      </c>
      <c r="O49" s="8">
        <v>0</v>
      </c>
      <c r="P49" s="6"/>
      <c r="Q49" s="6"/>
    </row>
    <row r="50" spans="1:17" x14ac:dyDescent="0.2">
      <c r="A50" s="23">
        <v>40066</v>
      </c>
      <c r="B50" s="8">
        <v>2</v>
      </c>
      <c r="C50" s="8" t="s">
        <v>35</v>
      </c>
      <c r="D50" s="8">
        <v>9</v>
      </c>
      <c r="E50" s="8" t="s">
        <v>17</v>
      </c>
      <c r="F50" s="8">
        <v>4</v>
      </c>
      <c r="G50" s="8">
        <v>9</v>
      </c>
      <c r="H50" s="9">
        <f t="shared" si="1"/>
        <v>2.25</v>
      </c>
      <c r="I50" s="8">
        <v>4</v>
      </c>
      <c r="J50" s="8">
        <v>1</v>
      </c>
      <c r="K50" s="8">
        <v>1</v>
      </c>
      <c r="L50" s="8">
        <v>0</v>
      </c>
      <c r="M50" s="8">
        <v>1</v>
      </c>
      <c r="N50" s="8">
        <v>1</v>
      </c>
      <c r="O50" s="8">
        <v>0</v>
      </c>
      <c r="P50" s="6"/>
      <c r="Q50" s="6"/>
    </row>
    <row r="51" spans="1:17" x14ac:dyDescent="0.2">
      <c r="A51" s="23">
        <v>40073</v>
      </c>
      <c r="B51" s="8">
        <v>3</v>
      </c>
      <c r="C51" s="8" t="s">
        <v>35</v>
      </c>
      <c r="D51" s="8">
        <v>9</v>
      </c>
      <c r="E51" s="18" t="s">
        <v>17</v>
      </c>
      <c r="F51" s="8">
        <v>4</v>
      </c>
      <c r="G51" s="8">
        <v>12</v>
      </c>
      <c r="H51" s="9">
        <f t="shared" si="1"/>
        <v>3</v>
      </c>
      <c r="I51" s="8">
        <v>7</v>
      </c>
      <c r="J51" s="26">
        <v>6</v>
      </c>
      <c r="K51" s="8">
        <v>5</v>
      </c>
      <c r="L51" s="8">
        <v>2</v>
      </c>
      <c r="M51" s="26">
        <v>4</v>
      </c>
      <c r="N51" s="8">
        <v>2</v>
      </c>
      <c r="O51" s="8">
        <v>3</v>
      </c>
      <c r="P51" s="6"/>
      <c r="Q51" s="6"/>
    </row>
    <row r="52" spans="1:17" x14ac:dyDescent="0.2">
      <c r="A52" s="23">
        <v>40080</v>
      </c>
      <c r="B52" s="8">
        <v>4</v>
      </c>
      <c r="C52" s="8" t="s">
        <v>35</v>
      </c>
      <c r="D52" s="8">
        <v>9</v>
      </c>
      <c r="E52" s="8" t="s">
        <v>17</v>
      </c>
      <c r="F52" s="8">
        <v>4</v>
      </c>
      <c r="G52" s="8">
        <v>0</v>
      </c>
      <c r="H52" s="9">
        <f t="shared" si="1"/>
        <v>0</v>
      </c>
      <c r="I52" s="8">
        <v>1</v>
      </c>
      <c r="J52" s="8">
        <v>1</v>
      </c>
      <c r="K52" s="8">
        <v>5</v>
      </c>
      <c r="L52" s="8">
        <v>1</v>
      </c>
      <c r="M52" s="8">
        <v>0</v>
      </c>
      <c r="N52" s="8">
        <v>4</v>
      </c>
      <c r="O52" s="8">
        <v>1</v>
      </c>
      <c r="P52" s="6"/>
      <c r="Q52" s="6"/>
    </row>
    <row r="53" spans="1:17" x14ac:dyDescent="0.2">
      <c r="A53" s="23">
        <v>40087</v>
      </c>
      <c r="B53" s="8">
        <v>5</v>
      </c>
      <c r="C53" s="8" t="s">
        <v>35</v>
      </c>
      <c r="D53" s="8">
        <v>9</v>
      </c>
      <c r="E53" s="8" t="s">
        <v>17</v>
      </c>
      <c r="F53" s="8">
        <v>4</v>
      </c>
      <c r="G53" s="8">
        <v>0</v>
      </c>
      <c r="H53" s="9">
        <f t="shared" si="1"/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6"/>
      <c r="Q53" s="6"/>
    </row>
    <row r="54" spans="1:17" x14ac:dyDescent="0.2">
      <c r="A54" s="23">
        <v>40052</v>
      </c>
      <c r="B54" s="8">
        <v>1</v>
      </c>
      <c r="C54" s="8" t="s">
        <v>36</v>
      </c>
      <c r="D54" s="8">
        <v>10</v>
      </c>
      <c r="E54" s="8" t="s">
        <v>18</v>
      </c>
      <c r="F54" s="8">
        <v>5</v>
      </c>
      <c r="G54" s="8">
        <v>0</v>
      </c>
      <c r="H54" s="9">
        <f t="shared" si="1"/>
        <v>0</v>
      </c>
      <c r="I54" s="8">
        <v>3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6"/>
      <c r="Q54" s="6"/>
    </row>
    <row r="55" spans="1:17" x14ac:dyDescent="0.2">
      <c r="A55" s="23">
        <v>40066</v>
      </c>
      <c r="B55" s="8">
        <v>2</v>
      </c>
      <c r="C55" s="8" t="s">
        <v>36</v>
      </c>
      <c r="D55" s="8">
        <v>10</v>
      </c>
      <c r="E55" s="8" t="s">
        <v>18</v>
      </c>
      <c r="F55" s="8">
        <v>5</v>
      </c>
      <c r="G55" s="8">
        <v>11</v>
      </c>
      <c r="H55" s="9">
        <f t="shared" si="1"/>
        <v>2.2000000000000002</v>
      </c>
      <c r="I55" s="8">
        <v>16</v>
      </c>
      <c r="J55" s="8">
        <v>0</v>
      </c>
      <c r="K55" s="8">
        <v>1</v>
      </c>
      <c r="L55" s="8">
        <v>0</v>
      </c>
      <c r="M55" s="8">
        <v>0</v>
      </c>
      <c r="N55" s="8">
        <v>0</v>
      </c>
      <c r="O55" s="8">
        <v>1</v>
      </c>
      <c r="P55" s="6"/>
      <c r="Q55" s="6"/>
    </row>
    <row r="56" spans="1:17" x14ac:dyDescent="0.2">
      <c r="A56" s="23">
        <v>40077</v>
      </c>
      <c r="B56" s="8">
        <v>3</v>
      </c>
      <c r="C56" s="8" t="s">
        <v>36</v>
      </c>
      <c r="D56" s="8">
        <v>10</v>
      </c>
      <c r="E56" s="8" t="s">
        <v>18</v>
      </c>
      <c r="F56" s="8">
        <v>5</v>
      </c>
      <c r="G56" s="8">
        <v>6</v>
      </c>
      <c r="H56" s="9">
        <f t="shared" si="1"/>
        <v>1.2</v>
      </c>
      <c r="I56" s="8">
        <v>2</v>
      </c>
      <c r="J56" s="8">
        <v>1</v>
      </c>
      <c r="K56" s="8">
        <v>2</v>
      </c>
      <c r="L56" s="8">
        <v>0</v>
      </c>
      <c r="M56" s="8">
        <v>1</v>
      </c>
      <c r="N56" s="8">
        <v>1</v>
      </c>
      <c r="O56" s="8">
        <v>1</v>
      </c>
      <c r="P56" s="6"/>
      <c r="Q56" s="6"/>
    </row>
    <row r="57" spans="1:17" x14ac:dyDescent="0.2">
      <c r="A57" s="23">
        <v>40087</v>
      </c>
      <c r="B57" s="8">
        <v>4</v>
      </c>
      <c r="C57" s="8" t="s">
        <v>36</v>
      </c>
      <c r="D57" s="8">
        <v>10</v>
      </c>
      <c r="E57" s="8" t="s">
        <v>18</v>
      </c>
      <c r="F57" s="8">
        <v>5</v>
      </c>
      <c r="G57" s="8">
        <v>1</v>
      </c>
      <c r="H57" s="9">
        <f t="shared" si="1"/>
        <v>0.2</v>
      </c>
      <c r="I57" s="8">
        <v>1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6"/>
      <c r="Q57" s="6"/>
    </row>
    <row r="58" spans="1:17" x14ac:dyDescent="0.2">
      <c r="A58" s="23">
        <v>40066</v>
      </c>
      <c r="B58" s="8">
        <v>1</v>
      </c>
      <c r="C58" s="8" t="s">
        <v>37</v>
      </c>
      <c r="D58" s="8">
        <v>11</v>
      </c>
      <c r="E58" s="8" t="s">
        <v>19</v>
      </c>
      <c r="F58" s="8">
        <v>4</v>
      </c>
      <c r="G58" s="8">
        <v>4</v>
      </c>
      <c r="H58" s="9">
        <f t="shared" si="1"/>
        <v>1</v>
      </c>
      <c r="I58" s="8">
        <v>10</v>
      </c>
      <c r="J58" s="8">
        <v>0</v>
      </c>
      <c r="K58" s="8">
        <v>2</v>
      </c>
      <c r="L58" s="8">
        <v>0</v>
      </c>
      <c r="M58" s="8">
        <v>0</v>
      </c>
      <c r="N58" s="8">
        <v>0</v>
      </c>
      <c r="O58" s="8">
        <v>2</v>
      </c>
      <c r="P58" s="6"/>
      <c r="Q58" s="6"/>
    </row>
    <row r="59" spans="1:17" x14ac:dyDescent="0.2">
      <c r="A59" s="23">
        <v>40077</v>
      </c>
      <c r="B59" s="8">
        <v>2</v>
      </c>
      <c r="C59" s="8" t="s">
        <v>37</v>
      </c>
      <c r="D59" s="8">
        <v>11</v>
      </c>
      <c r="E59" s="8" t="s">
        <v>19</v>
      </c>
      <c r="F59" s="8">
        <v>4</v>
      </c>
      <c r="G59" s="8">
        <v>3</v>
      </c>
      <c r="H59" s="9">
        <f t="shared" si="1"/>
        <v>0.75</v>
      </c>
      <c r="I59" s="8">
        <v>2</v>
      </c>
      <c r="J59" s="8">
        <v>1</v>
      </c>
      <c r="K59" s="8">
        <v>0</v>
      </c>
      <c r="L59" s="8">
        <v>1</v>
      </c>
      <c r="M59" s="8">
        <v>0</v>
      </c>
      <c r="N59" s="8">
        <v>0</v>
      </c>
      <c r="O59" s="8">
        <v>0</v>
      </c>
      <c r="P59" s="6"/>
      <c r="Q59" s="6"/>
    </row>
    <row r="60" spans="1:17" x14ac:dyDescent="0.2">
      <c r="A60" s="23">
        <v>40077</v>
      </c>
      <c r="B60" s="8">
        <v>1</v>
      </c>
      <c r="C60" s="8" t="s">
        <v>38</v>
      </c>
      <c r="D60" s="8">
        <v>12</v>
      </c>
      <c r="E60" s="8" t="s">
        <v>20</v>
      </c>
      <c r="F60" s="8">
        <v>3</v>
      </c>
      <c r="G60" s="8">
        <v>6</v>
      </c>
      <c r="H60" s="9">
        <f t="shared" si="1"/>
        <v>2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6"/>
      <c r="Q60" s="6"/>
    </row>
    <row r="61" spans="1:17" x14ac:dyDescent="0.2">
      <c r="A61" s="23">
        <v>40081</v>
      </c>
      <c r="B61" s="8">
        <v>1</v>
      </c>
      <c r="C61" s="8" t="s">
        <v>124</v>
      </c>
      <c r="D61" s="8">
        <v>13</v>
      </c>
      <c r="E61" s="8" t="s">
        <v>21</v>
      </c>
      <c r="F61" s="8">
        <v>3</v>
      </c>
      <c r="G61" s="8">
        <v>3</v>
      </c>
      <c r="H61" s="9">
        <f t="shared" si="1"/>
        <v>1</v>
      </c>
      <c r="I61" s="8">
        <v>1</v>
      </c>
      <c r="J61" s="8">
        <v>0</v>
      </c>
      <c r="K61" s="8">
        <v>1</v>
      </c>
      <c r="L61" s="8">
        <v>0</v>
      </c>
      <c r="M61" s="8">
        <v>0</v>
      </c>
      <c r="N61" s="8">
        <v>0</v>
      </c>
      <c r="O61" s="8">
        <v>1</v>
      </c>
      <c r="P61" s="6"/>
      <c r="Q61" s="6"/>
    </row>
    <row r="62" spans="1:17" ht="13.5" thickBot="1" x14ac:dyDescent="0.25">
      <c r="A62" s="23">
        <v>40081</v>
      </c>
      <c r="B62" s="8">
        <v>1</v>
      </c>
      <c r="C62" s="8" t="s">
        <v>123</v>
      </c>
      <c r="D62" s="8">
        <v>14</v>
      </c>
      <c r="E62" s="8" t="s">
        <v>22</v>
      </c>
      <c r="F62" s="68">
        <v>3</v>
      </c>
      <c r="G62" s="68">
        <v>0</v>
      </c>
      <c r="H62" s="69">
        <f t="shared" si="1"/>
        <v>0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"/>
      <c r="Q62" s="6"/>
    </row>
    <row r="63" spans="1:17" x14ac:dyDescent="0.2">
      <c r="A63" s="23"/>
      <c r="B63" s="8"/>
      <c r="C63" s="8"/>
      <c r="D63" s="8"/>
      <c r="E63" s="8"/>
      <c r="F63" s="2">
        <f>SUM(F4:F62)</f>
        <v>207</v>
      </c>
      <c r="G63" s="2">
        <f>SUM(G4:G62)</f>
        <v>451</v>
      </c>
      <c r="H63" s="64">
        <f t="shared" si="1"/>
        <v>2.1787439613526569</v>
      </c>
      <c r="I63" s="2">
        <f t="shared" ref="I63:O63" si="2">SUM(I4:I62)</f>
        <v>504</v>
      </c>
      <c r="J63" s="2">
        <f t="shared" si="2"/>
        <v>232</v>
      </c>
      <c r="K63" s="2">
        <f t="shared" si="2"/>
        <v>237</v>
      </c>
      <c r="L63" s="2">
        <f t="shared" si="2"/>
        <v>103</v>
      </c>
      <c r="M63" s="2">
        <f t="shared" si="2"/>
        <v>129</v>
      </c>
      <c r="N63" s="2">
        <f t="shared" si="2"/>
        <v>103</v>
      </c>
      <c r="O63" s="2">
        <f t="shared" si="2"/>
        <v>134</v>
      </c>
      <c r="P63" s="6"/>
      <c r="Q63" s="6"/>
    </row>
    <row r="64" spans="1:17" x14ac:dyDescent="0.2">
      <c r="A64" s="23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6"/>
      <c r="Q64" s="6"/>
    </row>
    <row r="65" spans="1:17" x14ac:dyDescent="0.2">
      <c r="A65" s="24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6"/>
      <c r="Q65" s="6"/>
    </row>
    <row r="66" spans="1:17" x14ac:dyDescent="0.2">
      <c r="A66" s="24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6"/>
      <c r="Q66" s="6"/>
    </row>
    <row r="67" spans="1:17" x14ac:dyDescent="0.2">
      <c r="A67" s="28" t="s">
        <v>121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8"/>
      <c r="M67" s="8"/>
      <c r="N67" s="8"/>
      <c r="O67" s="8"/>
      <c r="P67" s="6"/>
      <c r="Q67" s="6"/>
    </row>
    <row r="68" spans="1:17" x14ac:dyDescent="0.2">
      <c r="A68" s="24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6"/>
      <c r="Q68" s="6"/>
    </row>
    <row r="69" spans="1:17" x14ac:dyDescent="0.2">
      <c r="A69" s="29"/>
      <c r="B69" s="30" t="s">
        <v>122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6"/>
      <c r="Q69" s="6"/>
    </row>
    <row r="70" spans="1:17" x14ac:dyDescent="0.2">
      <c r="A70" s="24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6"/>
      <c r="Q70" s="6"/>
    </row>
    <row r="71" spans="1:17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6"/>
      <c r="Q71" s="6"/>
    </row>
    <row r="72" spans="1:17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6"/>
      <c r="Q72" s="6"/>
    </row>
    <row r="73" spans="1:17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6"/>
      <c r="Q73" s="6"/>
    </row>
    <row r="74" spans="1:17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6"/>
      <c r="Q74" s="6"/>
    </row>
    <row r="75" spans="1:17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6"/>
      <c r="Q75" s="6"/>
    </row>
    <row r="76" spans="1:17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6"/>
      <c r="Q76" s="6"/>
    </row>
    <row r="77" spans="1:17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6"/>
      <c r="Q77" s="6"/>
    </row>
    <row r="78" spans="1:17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6"/>
      <c r="Q78" s="6"/>
    </row>
  </sheetData>
  <phoneticPr fontId="0" type="noConversion"/>
  <pageMargins left="0.75" right="0.75" top="1" bottom="1" header="0.5" footer="0.5"/>
  <pageSetup orientation="portrait" r:id="rId1"/>
  <headerFooter alignWithMargins="0"/>
  <ignoredErrors>
    <ignoredError sqref="H63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727"/>
  <sheetViews>
    <sheetView workbookViewId="0">
      <pane ySplit="3" topLeftCell="A20" activePane="bottomLeft" state="frozen"/>
      <selection pane="bottomLeft" activeCell="G45" sqref="G45:G55"/>
    </sheetView>
  </sheetViews>
  <sheetFormatPr defaultRowHeight="12.75" x14ac:dyDescent="0.2"/>
  <cols>
    <col min="5" max="5" width="30" customWidth="1"/>
    <col min="6" max="6" width="9.85546875" customWidth="1"/>
  </cols>
  <sheetData>
    <row r="1" spans="1:20" x14ac:dyDescent="0.2">
      <c r="A1" s="2"/>
      <c r="B1" s="2"/>
      <c r="C1" s="2"/>
      <c r="D1" s="2"/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20" x14ac:dyDescent="0.2">
      <c r="A2" s="2" t="s">
        <v>0</v>
      </c>
      <c r="B2" s="2" t="s">
        <v>1</v>
      </c>
      <c r="C2" s="2" t="s">
        <v>108</v>
      </c>
      <c r="D2" s="2" t="s">
        <v>113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20" ht="13.5" thickBot="1" x14ac:dyDescent="0.25">
      <c r="A3" s="1"/>
      <c r="D3" s="2" t="s">
        <v>114</v>
      </c>
      <c r="I3" s="1"/>
      <c r="J3" s="4" t="s">
        <v>6</v>
      </c>
      <c r="K3" s="4" t="s">
        <v>7</v>
      </c>
      <c r="L3" s="1" t="s">
        <v>109</v>
      </c>
      <c r="M3" s="21" t="s">
        <v>110</v>
      </c>
      <c r="N3" s="21" t="s">
        <v>111</v>
      </c>
      <c r="O3" s="21" t="s">
        <v>112</v>
      </c>
    </row>
    <row r="4" spans="1:20" x14ac:dyDescent="0.2">
      <c r="A4" s="7">
        <v>39708</v>
      </c>
      <c r="B4" s="8">
        <v>1</v>
      </c>
      <c r="C4" s="8" t="s">
        <v>118</v>
      </c>
      <c r="D4" s="8" t="s">
        <v>116</v>
      </c>
      <c r="E4" s="8" t="s">
        <v>117</v>
      </c>
      <c r="F4" s="8">
        <v>2</v>
      </c>
      <c r="G4" s="8">
        <v>3</v>
      </c>
      <c r="H4" s="9">
        <f t="shared" ref="H4:H35" si="0">G4/F4</f>
        <v>1.5</v>
      </c>
      <c r="I4" s="8">
        <v>0</v>
      </c>
      <c r="J4" s="8">
        <v>0</v>
      </c>
      <c r="K4" s="8">
        <v>1</v>
      </c>
      <c r="L4" s="8">
        <v>0</v>
      </c>
      <c r="M4" s="8">
        <v>0</v>
      </c>
      <c r="N4" s="8">
        <v>0</v>
      </c>
      <c r="O4" s="8">
        <v>1</v>
      </c>
      <c r="P4" s="8"/>
      <c r="Q4" s="8"/>
      <c r="R4" s="8"/>
      <c r="S4" s="8"/>
      <c r="T4" s="8"/>
    </row>
    <row r="5" spans="1:20" x14ac:dyDescent="0.2">
      <c r="A5" s="7">
        <v>39702</v>
      </c>
      <c r="B5" s="8">
        <v>1</v>
      </c>
      <c r="C5" s="8" t="s">
        <v>27</v>
      </c>
      <c r="D5" s="8">
        <v>1</v>
      </c>
      <c r="E5" s="8" t="s">
        <v>9</v>
      </c>
      <c r="F5" s="8">
        <v>6</v>
      </c>
      <c r="G5" s="8">
        <v>8</v>
      </c>
      <c r="H5" s="9">
        <f t="shared" si="0"/>
        <v>1.3333333333333333</v>
      </c>
      <c r="I5" s="8">
        <v>7</v>
      </c>
      <c r="J5" s="8">
        <v>0</v>
      </c>
      <c r="K5" s="8">
        <v>2</v>
      </c>
      <c r="L5" s="8">
        <v>0</v>
      </c>
      <c r="M5" s="8">
        <v>0</v>
      </c>
      <c r="N5" s="8">
        <v>0</v>
      </c>
      <c r="O5" s="8">
        <v>2</v>
      </c>
      <c r="P5" s="8"/>
      <c r="Q5" s="8"/>
      <c r="R5" s="8"/>
      <c r="S5" s="8"/>
      <c r="T5" s="8"/>
    </row>
    <row r="6" spans="1:20" x14ac:dyDescent="0.2">
      <c r="A6" s="7">
        <v>39709</v>
      </c>
      <c r="B6" s="8">
        <v>2</v>
      </c>
      <c r="C6" s="8" t="s">
        <v>27</v>
      </c>
      <c r="D6" s="8">
        <v>1</v>
      </c>
      <c r="E6" s="8" t="s">
        <v>9</v>
      </c>
      <c r="F6" s="8">
        <v>6</v>
      </c>
      <c r="G6" s="8">
        <v>0</v>
      </c>
      <c r="H6" s="9">
        <f t="shared" si="0"/>
        <v>0</v>
      </c>
      <c r="I6" s="8">
        <v>0</v>
      </c>
      <c r="J6" s="8">
        <v>0</v>
      </c>
      <c r="K6" s="8">
        <v>2</v>
      </c>
      <c r="L6" s="8">
        <v>0</v>
      </c>
      <c r="M6" s="8">
        <v>0</v>
      </c>
      <c r="N6" s="8">
        <v>0</v>
      </c>
      <c r="O6" s="8">
        <v>2</v>
      </c>
      <c r="P6" s="8"/>
      <c r="Q6" s="8"/>
      <c r="R6" s="8"/>
      <c r="S6" s="8"/>
      <c r="T6" s="8"/>
    </row>
    <row r="7" spans="1:20" x14ac:dyDescent="0.2">
      <c r="A7" s="7">
        <v>39713</v>
      </c>
      <c r="B7" s="8">
        <v>3</v>
      </c>
      <c r="C7" s="8" t="s">
        <v>27</v>
      </c>
      <c r="D7" s="8">
        <v>1</v>
      </c>
      <c r="E7" s="8" t="s">
        <v>9</v>
      </c>
      <c r="F7" s="8">
        <v>6</v>
      </c>
      <c r="G7" s="8">
        <v>0</v>
      </c>
      <c r="H7" s="9">
        <f t="shared" si="0"/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/>
      <c r="Q7" s="8"/>
      <c r="R7" s="8"/>
      <c r="S7" s="8"/>
      <c r="T7" s="8"/>
    </row>
    <row r="8" spans="1:20" x14ac:dyDescent="0.2">
      <c r="A8" s="7">
        <v>39696</v>
      </c>
      <c r="B8" s="8">
        <v>1</v>
      </c>
      <c r="C8" s="8" t="s">
        <v>28</v>
      </c>
      <c r="D8" s="8">
        <v>2</v>
      </c>
      <c r="E8" s="8" t="s">
        <v>10</v>
      </c>
      <c r="F8" s="8">
        <v>3</v>
      </c>
      <c r="G8" s="8">
        <v>12</v>
      </c>
      <c r="H8" s="9">
        <f t="shared" si="0"/>
        <v>4</v>
      </c>
      <c r="I8" s="8">
        <v>20</v>
      </c>
      <c r="J8" s="8">
        <v>0</v>
      </c>
      <c r="K8" s="8">
        <v>2</v>
      </c>
      <c r="L8" s="8">
        <v>0</v>
      </c>
      <c r="M8" s="8">
        <v>0</v>
      </c>
      <c r="N8" s="8">
        <v>0</v>
      </c>
      <c r="O8" s="8">
        <v>2</v>
      </c>
      <c r="P8" s="8"/>
      <c r="Q8" s="8"/>
      <c r="R8" s="8"/>
      <c r="S8" s="8"/>
      <c r="T8" s="8"/>
    </row>
    <row r="9" spans="1:20" x14ac:dyDescent="0.2">
      <c r="A9" s="7">
        <v>39702</v>
      </c>
      <c r="B9" s="8">
        <v>2</v>
      </c>
      <c r="C9" s="8" t="s">
        <v>28</v>
      </c>
      <c r="D9" s="8">
        <v>2</v>
      </c>
      <c r="E9" s="8" t="s">
        <v>10</v>
      </c>
      <c r="F9" s="8">
        <v>3</v>
      </c>
      <c r="G9" s="8">
        <v>6</v>
      </c>
      <c r="H9" s="9">
        <f t="shared" si="0"/>
        <v>2</v>
      </c>
      <c r="I9" s="8">
        <v>8</v>
      </c>
      <c r="J9" s="8">
        <v>0</v>
      </c>
      <c r="K9" s="8">
        <v>6</v>
      </c>
      <c r="L9" s="8">
        <v>0</v>
      </c>
      <c r="M9" s="8">
        <v>0</v>
      </c>
      <c r="N9" s="8">
        <v>2</v>
      </c>
      <c r="O9" s="8">
        <v>4</v>
      </c>
      <c r="P9" s="8"/>
      <c r="Q9" s="8"/>
      <c r="R9" s="8"/>
      <c r="S9" s="8"/>
      <c r="T9" s="8"/>
    </row>
    <row r="10" spans="1:20" x14ac:dyDescent="0.2">
      <c r="A10" s="7">
        <v>39709</v>
      </c>
      <c r="B10" s="8">
        <v>3</v>
      </c>
      <c r="C10" s="8" t="s">
        <v>28</v>
      </c>
      <c r="D10" s="8">
        <v>2</v>
      </c>
      <c r="E10" s="8" t="s">
        <v>10</v>
      </c>
      <c r="F10" s="8">
        <v>3</v>
      </c>
      <c r="G10" s="8">
        <v>1</v>
      </c>
      <c r="H10" s="9">
        <f t="shared" si="0"/>
        <v>0.33333333333333331</v>
      </c>
      <c r="I10" s="8">
        <v>1</v>
      </c>
      <c r="J10" s="8">
        <v>3</v>
      </c>
      <c r="K10" s="8">
        <v>3</v>
      </c>
      <c r="L10" s="8">
        <v>1</v>
      </c>
      <c r="M10" s="8">
        <v>2</v>
      </c>
      <c r="N10" s="8">
        <v>0</v>
      </c>
      <c r="O10" s="8">
        <v>3</v>
      </c>
      <c r="P10" s="8"/>
      <c r="Q10" s="8"/>
      <c r="R10" s="8"/>
      <c r="S10" s="8"/>
      <c r="T10" s="8"/>
    </row>
    <row r="11" spans="1:20" x14ac:dyDescent="0.2">
      <c r="A11" s="7">
        <v>39713</v>
      </c>
      <c r="B11" s="8">
        <v>4</v>
      </c>
      <c r="C11" s="8" t="s">
        <v>28</v>
      </c>
      <c r="D11" s="8">
        <v>2</v>
      </c>
      <c r="E11" s="8" t="s">
        <v>10</v>
      </c>
      <c r="F11" s="8">
        <v>3</v>
      </c>
      <c r="G11" s="8">
        <v>0</v>
      </c>
      <c r="H11" s="9">
        <f t="shared" si="0"/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/>
      <c r="Q11" s="8"/>
      <c r="R11" s="8"/>
      <c r="S11" s="8"/>
      <c r="T11" s="8"/>
    </row>
    <row r="12" spans="1:20" x14ac:dyDescent="0.2">
      <c r="A12" s="7">
        <v>39687</v>
      </c>
      <c r="B12" s="8">
        <v>1</v>
      </c>
      <c r="C12" s="8" t="s">
        <v>29</v>
      </c>
      <c r="D12" s="8">
        <v>3</v>
      </c>
      <c r="E12" s="8" t="s">
        <v>11</v>
      </c>
      <c r="F12" s="8">
        <v>2</v>
      </c>
      <c r="G12" s="8">
        <v>4</v>
      </c>
      <c r="H12" s="9">
        <f t="shared" si="0"/>
        <v>2</v>
      </c>
      <c r="I12" s="8">
        <v>4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/>
      <c r="Q12" s="8"/>
      <c r="R12" s="8"/>
      <c r="S12" s="8"/>
      <c r="T12" s="8"/>
    </row>
    <row r="13" spans="1:20" x14ac:dyDescent="0.2">
      <c r="A13" s="7">
        <v>39695</v>
      </c>
      <c r="B13" s="8">
        <v>2</v>
      </c>
      <c r="C13" s="8" t="s">
        <v>29</v>
      </c>
      <c r="D13" s="8">
        <v>3</v>
      </c>
      <c r="E13" s="8" t="s">
        <v>11</v>
      </c>
      <c r="F13" s="8">
        <v>2</v>
      </c>
      <c r="G13" s="8">
        <v>6</v>
      </c>
      <c r="H13" s="9">
        <f t="shared" si="0"/>
        <v>3</v>
      </c>
      <c r="I13" s="8">
        <v>16</v>
      </c>
      <c r="J13" s="8">
        <v>0</v>
      </c>
      <c r="K13" s="8">
        <v>1</v>
      </c>
      <c r="L13" s="8">
        <v>0</v>
      </c>
      <c r="M13" s="8">
        <v>0</v>
      </c>
      <c r="N13" s="8">
        <v>1</v>
      </c>
      <c r="O13" s="8">
        <v>0</v>
      </c>
      <c r="P13" s="8"/>
      <c r="Q13" s="8"/>
      <c r="R13" s="8"/>
      <c r="S13" s="8"/>
      <c r="T13" s="8"/>
    </row>
    <row r="14" spans="1:20" x14ac:dyDescent="0.2">
      <c r="A14" s="7">
        <v>39699</v>
      </c>
      <c r="B14" s="8">
        <v>3</v>
      </c>
      <c r="C14" s="8" t="s">
        <v>29</v>
      </c>
      <c r="D14" s="8">
        <v>3</v>
      </c>
      <c r="E14" s="8" t="s">
        <v>11</v>
      </c>
      <c r="F14" s="8">
        <v>2</v>
      </c>
      <c r="G14" s="8">
        <v>2</v>
      </c>
      <c r="H14" s="9">
        <f t="shared" si="0"/>
        <v>1</v>
      </c>
      <c r="I14" s="8">
        <v>6</v>
      </c>
      <c r="J14" s="8">
        <v>2</v>
      </c>
      <c r="K14" s="8">
        <v>5</v>
      </c>
      <c r="L14" s="8">
        <v>2</v>
      </c>
      <c r="M14" s="8">
        <v>0</v>
      </c>
      <c r="N14" s="8">
        <v>0</v>
      </c>
      <c r="O14" s="8">
        <v>5</v>
      </c>
      <c r="P14" s="8"/>
      <c r="Q14" s="8"/>
      <c r="R14" s="8"/>
      <c r="S14" s="8"/>
      <c r="T14" s="8"/>
    </row>
    <row r="15" spans="1:20" x14ac:dyDescent="0.2">
      <c r="A15" s="7">
        <v>39702</v>
      </c>
      <c r="B15" s="8">
        <v>4</v>
      </c>
      <c r="C15" s="8" t="s">
        <v>29</v>
      </c>
      <c r="D15" s="8">
        <v>3</v>
      </c>
      <c r="E15" s="8" t="s">
        <v>11</v>
      </c>
      <c r="F15" s="8">
        <v>2</v>
      </c>
      <c r="G15" s="8">
        <v>0</v>
      </c>
      <c r="H15" s="9">
        <f t="shared" si="0"/>
        <v>0</v>
      </c>
      <c r="I15" s="8">
        <v>11</v>
      </c>
      <c r="J15" s="8">
        <v>1</v>
      </c>
      <c r="K15" s="8">
        <v>1</v>
      </c>
      <c r="L15" s="8">
        <v>0</v>
      </c>
      <c r="M15" s="8">
        <v>1</v>
      </c>
      <c r="N15" s="8">
        <v>1</v>
      </c>
      <c r="O15" s="8">
        <v>0</v>
      </c>
      <c r="P15" s="8"/>
      <c r="Q15" s="8"/>
      <c r="R15" s="8"/>
      <c r="S15" s="8"/>
      <c r="T15" s="8"/>
    </row>
    <row r="16" spans="1:20" x14ac:dyDescent="0.2">
      <c r="A16" s="7">
        <v>39706</v>
      </c>
      <c r="B16" s="8">
        <v>5</v>
      </c>
      <c r="C16" s="8" t="s">
        <v>29</v>
      </c>
      <c r="D16" s="8">
        <v>3</v>
      </c>
      <c r="E16" s="8" t="s">
        <v>11</v>
      </c>
      <c r="F16" s="8">
        <v>2</v>
      </c>
      <c r="G16" s="8">
        <v>1</v>
      </c>
      <c r="H16" s="9">
        <f t="shared" si="0"/>
        <v>0.5</v>
      </c>
      <c r="I16" s="8">
        <v>6</v>
      </c>
      <c r="J16" s="8">
        <v>2</v>
      </c>
      <c r="K16" s="8">
        <v>1</v>
      </c>
      <c r="L16" s="8">
        <v>0</v>
      </c>
      <c r="M16" s="8">
        <v>2</v>
      </c>
      <c r="N16" s="8">
        <v>1</v>
      </c>
      <c r="O16" s="8">
        <v>0</v>
      </c>
      <c r="P16" s="8"/>
      <c r="Q16" s="8"/>
      <c r="R16" s="8"/>
      <c r="S16" s="8"/>
      <c r="T16" s="8"/>
    </row>
    <row r="17" spans="1:20" x14ac:dyDescent="0.2">
      <c r="A17" s="7">
        <v>39709</v>
      </c>
      <c r="B17" s="8">
        <v>6</v>
      </c>
      <c r="C17" s="8" t="s">
        <v>29</v>
      </c>
      <c r="D17" s="8">
        <v>3</v>
      </c>
      <c r="E17" s="8" t="s">
        <v>11</v>
      </c>
      <c r="F17" s="8">
        <v>2</v>
      </c>
      <c r="G17" s="8">
        <v>0</v>
      </c>
      <c r="H17" s="9">
        <f t="shared" si="0"/>
        <v>0</v>
      </c>
      <c r="I17" s="8">
        <v>0</v>
      </c>
      <c r="J17" s="8">
        <v>1</v>
      </c>
      <c r="K17" s="8">
        <v>1</v>
      </c>
      <c r="L17" s="8">
        <v>0</v>
      </c>
      <c r="M17" s="8">
        <v>1</v>
      </c>
      <c r="N17" s="8">
        <v>0</v>
      </c>
      <c r="O17" s="8">
        <v>1</v>
      </c>
      <c r="P17" s="8"/>
      <c r="Q17" s="8"/>
      <c r="R17" s="8"/>
      <c r="S17" s="8"/>
      <c r="T17" s="8"/>
    </row>
    <row r="18" spans="1:20" x14ac:dyDescent="0.2">
      <c r="A18" s="7">
        <v>39687</v>
      </c>
      <c r="B18" s="8">
        <v>1</v>
      </c>
      <c r="C18" s="8" t="s">
        <v>30</v>
      </c>
      <c r="D18" s="8">
        <v>4</v>
      </c>
      <c r="E18" s="8" t="s">
        <v>12</v>
      </c>
      <c r="F18" s="8">
        <v>5</v>
      </c>
      <c r="G18" s="8">
        <v>2</v>
      </c>
      <c r="H18" s="9">
        <f t="shared" si="0"/>
        <v>0.4</v>
      </c>
      <c r="I18" s="8">
        <v>1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/>
      <c r="Q18" s="8"/>
      <c r="R18" s="8"/>
      <c r="S18" s="8"/>
      <c r="T18" s="8"/>
    </row>
    <row r="19" spans="1:20" x14ac:dyDescent="0.2">
      <c r="A19" s="7">
        <v>39695</v>
      </c>
      <c r="B19" s="8">
        <v>2</v>
      </c>
      <c r="C19" s="8" t="s">
        <v>30</v>
      </c>
      <c r="D19" s="8">
        <v>4</v>
      </c>
      <c r="E19" s="8" t="s">
        <v>12</v>
      </c>
      <c r="F19" s="8">
        <v>5</v>
      </c>
      <c r="G19" s="8">
        <v>7</v>
      </c>
      <c r="H19" s="9">
        <f t="shared" si="0"/>
        <v>1.4</v>
      </c>
      <c r="I19" s="8">
        <v>19</v>
      </c>
      <c r="J19" s="8">
        <v>1</v>
      </c>
      <c r="K19" s="8">
        <v>0</v>
      </c>
      <c r="L19" s="8">
        <v>1</v>
      </c>
      <c r="M19" s="8">
        <v>0</v>
      </c>
      <c r="N19" s="8">
        <v>0</v>
      </c>
      <c r="O19" s="8">
        <v>0</v>
      </c>
      <c r="P19" s="8"/>
      <c r="Q19" s="8"/>
      <c r="R19" s="8"/>
      <c r="S19" s="8"/>
      <c r="T19" s="8"/>
    </row>
    <row r="20" spans="1:20" x14ac:dyDescent="0.2">
      <c r="A20" s="7">
        <v>39699</v>
      </c>
      <c r="B20" s="8">
        <v>3</v>
      </c>
      <c r="C20" s="8" t="s">
        <v>30</v>
      </c>
      <c r="D20" s="8">
        <v>4</v>
      </c>
      <c r="E20" s="8" t="s">
        <v>12</v>
      </c>
      <c r="F20" s="8">
        <v>5</v>
      </c>
      <c r="G20" s="8">
        <v>8</v>
      </c>
      <c r="H20" s="9">
        <f t="shared" si="0"/>
        <v>1.6</v>
      </c>
      <c r="I20" s="8">
        <v>46</v>
      </c>
      <c r="J20" s="8">
        <v>0</v>
      </c>
      <c r="K20" s="8">
        <v>8</v>
      </c>
      <c r="L20" s="8">
        <v>0</v>
      </c>
      <c r="M20" s="8">
        <v>0</v>
      </c>
      <c r="N20" s="8">
        <v>1</v>
      </c>
      <c r="O20" s="8">
        <v>7</v>
      </c>
      <c r="P20" s="8"/>
      <c r="Q20" s="8"/>
      <c r="R20" s="8"/>
      <c r="S20" s="8"/>
      <c r="T20" s="8"/>
    </row>
    <row r="21" spans="1:20" x14ac:dyDescent="0.2">
      <c r="A21" s="7">
        <v>39702</v>
      </c>
      <c r="B21" s="8">
        <v>4</v>
      </c>
      <c r="C21" s="8" t="s">
        <v>30</v>
      </c>
      <c r="D21" s="8">
        <v>4</v>
      </c>
      <c r="E21" s="8" t="s">
        <v>12</v>
      </c>
      <c r="F21" s="8">
        <v>5</v>
      </c>
      <c r="G21" s="8">
        <v>2</v>
      </c>
      <c r="H21" s="9">
        <f t="shared" si="0"/>
        <v>0.4</v>
      </c>
      <c r="I21" s="8">
        <v>11</v>
      </c>
      <c r="J21" s="8">
        <v>0</v>
      </c>
      <c r="K21" s="8">
        <v>5</v>
      </c>
      <c r="L21" s="8">
        <v>0</v>
      </c>
      <c r="M21" s="8">
        <v>0</v>
      </c>
      <c r="N21" s="8">
        <v>5</v>
      </c>
      <c r="O21" s="8">
        <v>0</v>
      </c>
      <c r="P21" s="8"/>
      <c r="Q21" s="8"/>
      <c r="R21" s="8"/>
      <c r="S21" s="8"/>
      <c r="T21" s="8"/>
    </row>
    <row r="22" spans="1:20" x14ac:dyDescent="0.2">
      <c r="A22" s="7">
        <v>39706</v>
      </c>
      <c r="B22" s="8">
        <v>5</v>
      </c>
      <c r="C22" s="8" t="s">
        <v>30</v>
      </c>
      <c r="D22" s="8">
        <v>4</v>
      </c>
      <c r="E22" s="8" t="s">
        <v>12</v>
      </c>
      <c r="F22" s="8">
        <v>5</v>
      </c>
      <c r="G22" s="8">
        <v>7</v>
      </c>
      <c r="H22" s="9">
        <f t="shared" si="0"/>
        <v>1.4</v>
      </c>
      <c r="I22" s="8">
        <v>10</v>
      </c>
      <c r="J22" s="8">
        <v>1</v>
      </c>
      <c r="K22" s="8">
        <v>11</v>
      </c>
      <c r="L22" s="8">
        <v>0</v>
      </c>
      <c r="M22" s="8">
        <v>1</v>
      </c>
      <c r="N22" s="8">
        <v>8</v>
      </c>
      <c r="O22" s="8">
        <v>3</v>
      </c>
      <c r="P22" s="8"/>
      <c r="Q22" s="8"/>
      <c r="R22" s="8"/>
      <c r="S22" s="8"/>
      <c r="T22" s="8"/>
    </row>
    <row r="23" spans="1:20" x14ac:dyDescent="0.2">
      <c r="A23" s="7">
        <v>39709</v>
      </c>
      <c r="B23" s="8">
        <v>6</v>
      </c>
      <c r="C23" s="8" t="s">
        <v>30</v>
      </c>
      <c r="D23" s="8">
        <v>4</v>
      </c>
      <c r="E23" s="8" t="s">
        <v>12</v>
      </c>
      <c r="F23" s="8">
        <v>5</v>
      </c>
      <c r="G23" s="8">
        <v>3</v>
      </c>
      <c r="H23" s="9">
        <f t="shared" si="0"/>
        <v>0.6</v>
      </c>
      <c r="I23" s="8">
        <v>3</v>
      </c>
      <c r="J23" s="8">
        <v>5</v>
      </c>
      <c r="K23" s="8">
        <v>7</v>
      </c>
      <c r="L23" s="8">
        <v>3</v>
      </c>
      <c r="M23" s="8">
        <v>2</v>
      </c>
      <c r="N23" s="8">
        <v>2</v>
      </c>
      <c r="O23" s="8">
        <v>5</v>
      </c>
      <c r="P23" s="8"/>
      <c r="Q23" s="8"/>
      <c r="R23" s="8"/>
      <c r="S23" s="8"/>
      <c r="T23" s="8"/>
    </row>
    <row r="24" spans="1:20" x14ac:dyDescent="0.2">
      <c r="A24" s="7">
        <v>39713</v>
      </c>
      <c r="B24" s="8">
        <v>7</v>
      </c>
      <c r="C24" s="8" t="s">
        <v>30</v>
      </c>
      <c r="D24" s="8">
        <v>4</v>
      </c>
      <c r="E24" s="8" t="s">
        <v>12</v>
      </c>
      <c r="F24" s="8">
        <v>5</v>
      </c>
      <c r="G24" s="8">
        <v>0</v>
      </c>
      <c r="H24" s="9">
        <f t="shared" si="0"/>
        <v>0</v>
      </c>
      <c r="I24" s="8">
        <v>0</v>
      </c>
      <c r="J24" s="8">
        <v>5</v>
      </c>
      <c r="K24" s="8">
        <v>2</v>
      </c>
      <c r="L24" s="8">
        <v>0</v>
      </c>
      <c r="M24" s="8">
        <v>5</v>
      </c>
      <c r="N24" s="8">
        <v>0</v>
      </c>
      <c r="O24" s="8">
        <v>2</v>
      </c>
      <c r="P24" s="8"/>
      <c r="Q24" s="8"/>
      <c r="R24" s="8"/>
      <c r="S24" s="8"/>
      <c r="T24" s="8"/>
    </row>
    <row r="25" spans="1:20" x14ac:dyDescent="0.2">
      <c r="A25" s="7">
        <v>39687</v>
      </c>
      <c r="B25" s="8">
        <v>1</v>
      </c>
      <c r="C25" s="8" t="s">
        <v>31</v>
      </c>
      <c r="D25" s="8">
        <v>5</v>
      </c>
      <c r="E25" s="8" t="s">
        <v>13</v>
      </c>
      <c r="F25" s="8">
        <v>2</v>
      </c>
      <c r="G25" s="8">
        <v>1</v>
      </c>
      <c r="H25" s="9">
        <f t="shared" si="0"/>
        <v>0.5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/>
      <c r="Q25" s="8"/>
      <c r="R25" s="8"/>
      <c r="S25" s="8"/>
      <c r="T25" s="8"/>
    </row>
    <row r="26" spans="1:20" x14ac:dyDescent="0.2">
      <c r="A26" s="7">
        <v>39694</v>
      </c>
      <c r="B26" s="8">
        <v>2</v>
      </c>
      <c r="C26" s="8" t="s">
        <v>31</v>
      </c>
      <c r="D26" s="8">
        <v>5</v>
      </c>
      <c r="E26" s="8" t="s">
        <v>13</v>
      </c>
      <c r="F26" s="8">
        <v>2</v>
      </c>
      <c r="G26" s="8">
        <v>8</v>
      </c>
      <c r="H26" s="9">
        <f t="shared" si="0"/>
        <v>4</v>
      </c>
      <c r="I26" s="8">
        <v>7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/>
      <c r="Q26" s="8"/>
      <c r="R26" s="8"/>
      <c r="S26" s="8"/>
      <c r="T26" s="8"/>
    </row>
    <row r="27" spans="1:20" x14ac:dyDescent="0.2">
      <c r="A27" s="7">
        <v>39699</v>
      </c>
      <c r="B27" s="8">
        <v>3</v>
      </c>
      <c r="C27" s="8" t="s">
        <v>31</v>
      </c>
      <c r="D27" s="8">
        <v>5</v>
      </c>
      <c r="E27" s="8" t="s">
        <v>13</v>
      </c>
      <c r="F27" s="8">
        <v>2</v>
      </c>
      <c r="G27" s="8">
        <v>9</v>
      </c>
      <c r="H27" s="9">
        <f t="shared" si="0"/>
        <v>4.5</v>
      </c>
      <c r="I27" s="8">
        <v>19</v>
      </c>
      <c r="J27" s="8">
        <v>7</v>
      </c>
      <c r="K27" s="8">
        <v>1</v>
      </c>
      <c r="L27" s="8">
        <v>5</v>
      </c>
      <c r="M27" s="8">
        <v>2</v>
      </c>
      <c r="N27" s="8">
        <v>1</v>
      </c>
      <c r="O27" s="8">
        <v>0</v>
      </c>
      <c r="P27" s="8"/>
      <c r="Q27" s="8"/>
      <c r="R27" s="8"/>
      <c r="S27" s="8"/>
      <c r="T27" s="8"/>
    </row>
    <row r="28" spans="1:20" x14ac:dyDescent="0.2">
      <c r="A28" s="7">
        <v>39706</v>
      </c>
      <c r="B28" s="8">
        <v>4</v>
      </c>
      <c r="C28" s="8" t="s">
        <v>31</v>
      </c>
      <c r="D28" s="8">
        <v>5</v>
      </c>
      <c r="E28" s="8" t="s">
        <v>13</v>
      </c>
      <c r="F28" s="8">
        <v>2</v>
      </c>
      <c r="G28" s="8">
        <v>11</v>
      </c>
      <c r="H28" s="9">
        <f t="shared" si="0"/>
        <v>5.5</v>
      </c>
      <c r="I28" s="8">
        <v>9</v>
      </c>
      <c r="J28" s="8">
        <v>6</v>
      </c>
      <c r="K28" s="8">
        <v>10</v>
      </c>
      <c r="L28" s="8">
        <v>6</v>
      </c>
      <c r="M28" s="8">
        <v>0</v>
      </c>
      <c r="N28" s="8">
        <v>5</v>
      </c>
      <c r="O28" s="8">
        <v>5</v>
      </c>
      <c r="P28" s="8"/>
      <c r="Q28" s="8"/>
      <c r="R28" s="8"/>
      <c r="S28" s="8"/>
      <c r="T28" s="8"/>
    </row>
    <row r="29" spans="1:20" x14ac:dyDescent="0.2">
      <c r="A29" s="7">
        <v>39713</v>
      </c>
      <c r="B29" s="8">
        <v>5</v>
      </c>
      <c r="C29" s="8" t="s">
        <v>31</v>
      </c>
      <c r="D29" s="8">
        <v>5</v>
      </c>
      <c r="E29" s="8" t="s">
        <v>13</v>
      </c>
      <c r="F29" s="8">
        <v>2</v>
      </c>
      <c r="G29" s="8">
        <v>0</v>
      </c>
      <c r="H29" s="9">
        <f t="shared" si="0"/>
        <v>0</v>
      </c>
      <c r="I29" s="8">
        <v>2</v>
      </c>
      <c r="J29" s="8">
        <v>4</v>
      </c>
      <c r="K29" s="8">
        <v>2</v>
      </c>
      <c r="L29" s="8">
        <v>2</v>
      </c>
      <c r="M29" s="8">
        <v>2</v>
      </c>
      <c r="N29" s="8">
        <v>2</v>
      </c>
      <c r="O29" s="8">
        <v>0</v>
      </c>
      <c r="P29" s="8"/>
      <c r="Q29" s="8"/>
      <c r="R29" s="8"/>
      <c r="S29" s="8"/>
      <c r="T29" s="8"/>
    </row>
    <row r="30" spans="1:20" x14ac:dyDescent="0.2">
      <c r="A30" s="7">
        <v>39687</v>
      </c>
      <c r="B30" s="8">
        <v>1</v>
      </c>
      <c r="C30" s="8" t="s">
        <v>32</v>
      </c>
      <c r="D30" s="8">
        <v>6</v>
      </c>
      <c r="E30" s="8" t="s">
        <v>14</v>
      </c>
      <c r="F30" s="8">
        <v>4</v>
      </c>
      <c r="G30" s="8">
        <v>0</v>
      </c>
      <c r="H30" s="9">
        <f t="shared" si="0"/>
        <v>0</v>
      </c>
      <c r="I30" s="8">
        <v>2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/>
      <c r="Q30" s="8"/>
      <c r="R30" s="8"/>
      <c r="S30" s="8"/>
      <c r="T30" s="8"/>
    </row>
    <row r="31" spans="1:20" x14ac:dyDescent="0.2">
      <c r="A31" s="7">
        <v>39694</v>
      </c>
      <c r="B31" s="8">
        <v>2</v>
      </c>
      <c r="C31" s="8" t="s">
        <v>32</v>
      </c>
      <c r="D31" s="8">
        <v>6</v>
      </c>
      <c r="E31" s="8" t="s">
        <v>14</v>
      </c>
      <c r="F31" s="8">
        <v>4</v>
      </c>
      <c r="G31" s="8">
        <v>13</v>
      </c>
      <c r="H31" s="9">
        <f t="shared" si="0"/>
        <v>3.25</v>
      </c>
      <c r="I31" s="8">
        <v>27</v>
      </c>
      <c r="J31" s="8">
        <v>0</v>
      </c>
      <c r="K31" s="8">
        <v>1</v>
      </c>
      <c r="L31" s="8">
        <v>0</v>
      </c>
      <c r="M31" s="8">
        <v>0</v>
      </c>
      <c r="N31" s="8">
        <v>1</v>
      </c>
      <c r="O31" s="8">
        <v>0</v>
      </c>
      <c r="P31" s="8"/>
      <c r="Q31" s="8"/>
      <c r="R31" s="8"/>
      <c r="S31" s="8"/>
      <c r="T31" s="8"/>
    </row>
    <row r="32" spans="1:20" x14ac:dyDescent="0.2">
      <c r="A32" s="7">
        <v>39699</v>
      </c>
      <c r="B32" s="8">
        <v>3</v>
      </c>
      <c r="C32" s="8" t="s">
        <v>32</v>
      </c>
      <c r="D32" s="8">
        <v>6</v>
      </c>
      <c r="E32" s="8" t="s">
        <v>14</v>
      </c>
      <c r="F32" s="8">
        <v>4</v>
      </c>
      <c r="G32" s="8">
        <v>10</v>
      </c>
      <c r="H32" s="9">
        <f t="shared" si="0"/>
        <v>2.5</v>
      </c>
      <c r="I32" s="8">
        <v>25</v>
      </c>
      <c r="J32" s="8">
        <v>5</v>
      </c>
      <c r="K32" s="8">
        <v>4</v>
      </c>
      <c r="L32" s="8">
        <v>5</v>
      </c>
      <c r="M32" s="8">
        <v>0</v>
      </c>
      <c r="N32" s="8">
        <v>1</v>
      </c>
      <c r="O32" s="8">
        <v>3</v>
      </c>
      <c r="P32" s="8"/>
      <c r="Q32" s="8"/>
      <c r="R32" s="8"/>
      <c r="S32" s="8"/>
      <c r="T32" s="8"/>
    </row>
    <row r="33" spans="1:20" x14ac:dyDescent="0.2">
      <c r="A33" s="7">
        <v>39706</v>
      </c>
      <c r="B33" s="8">
        <v>4</v>
      </c>
      <c r="C33" s="8" t="s">
        <v>32</v>
      </c>
      <c r="D33" s="8">
        <v>6</v>
      </c>
      <c r="E33" s="8" t="s">
        <v>14</v>
      </c>
      <c r="F33" s="8">
        <v>4</v>
      </c>
      <c r="G33" s="8">
        <v>5</v>
      </c>
      <c r="H33" s="9">
        <f t="shared" si="0"/>
        <v>1.25</v>
      </c>
      <c r="I33" s="8">
        <v>4</v>
      </c>
      <c r="J33" s="8">
        <v>8</v>
      </c>
      <c r="K33" s="8">
        <v>13</v>
      </c>
      <c r="L33" s="8">
        <v>4</v>
      </c>
      <c r="M33" s="8">
        <v>4</v>
      </c>
      <c r="N33" s="8">
        <v>4</v>
      </c>
      <c r="O33" s="8">
        <v>9</v>
      </c>
      <c r="P33" s="8"/>
      <c r="Q33" s="8"/>
      <c r="R33" s="8"/>
      <c r="S33" s="8"/>
      <c r="T33" s="8"/>
    </row>
    <row r="34" spans="1:20" x14ac:dyDescent="0.2">
      <c r="A34" s="7">
        <v>39713</v>
      </c>
      <c r="B34" s="8">
        <v>5</v>
      </c>
      <c r="C34" s="8" t="s">
        <v>32</v>
      </c>
      <c r="D34" s="8">
        <v>6</v>
      </c>
      <c r="E34" s="8" t="s">
        <v>14</v>
      </c>
      <c r="F34" s="8">
        <v>4</v>
      </c>
      <c r="G34" s="8">
        <v>2</v>
      </c>
      <c r="H34" s="9">
        <f t="shared" si="0"/>
        <v>0.5</v>
      </c>
      <c r="I34" s="8">
        <v>0</v>
      </c>
      <c r="J34" s="8">
        <v>0</v>
      </c>
      <c r="K34" s="8">
        <v>2</v>
      </c>
      <c r="L34" s="8">
        <v>0</v>
      </c>
      <c r="M34" s="8">
        <v>0</v>
      </c>
      <c r="N34" s="8">
        <v>0</v>
      </c>
      <c r="O34" s="8">
        <v>2</v>
      </c>
      <c r="P34" s="8"/>
      <c r="Q34" s="8"/>
      <c r="R34" s="8"/>
      <c r="S34" s="8"/>
      <c r="T34" s="8"/>
    </row>
    <row r="35" spans="1:20" x14ac:dyDescent="0.2">
      <c r="A35" s="7">
        <v>39687</v>
      </c>
      <c r="B35" s="8">
        <v>1</v>
      </c>
      <c r="C35" s="8" t="s">
        <v>33</v>
      </c>
      <c r="D35" s="8">
        <v>7</v>
      </c>
      <c r="E35" s="8" t="s">
        <v>15</v>
      </c>
      <c r="F35" s="8">
        <v>3</v>
      </c>
      <c r="G35" s="8">
        <v>0</v>
      </c>
      <c r="H35" s="9">
        <f t="shared" si="0"/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/>
      <c r="Q35" s="8"/>
      <c r="R35" s="8"/>
      <c r="S35" s="8"/>
      <c r="T35" s="8"/>
    </row>
    <row r="36" spans="1:20" x14ac:dyDescent="0.2">
      <c r="A36" s="7">
        <v>39694</v>
      </c>
      <c r="B36" s="8">
        <v>2</v>
      </c>
      <c r="C36" s="8" t="s">
        <v>33</v>
      </c>
      <c r="D36" s="8">
        <v>7</v>
      </c>
      <c r="E36" s="8" t="s">
        <v>15</v>
      </c>
      <c r="F36" s="8">
        <v>3</v>
      </c>
      <c r="G36" s="8">
        <v>0</v>
      </c>
      <c r="H36" s="9">
        <f t="shared" ref="H36:H58" si="1">G36/F36</f>
        <v>0</v>
      </c>
      <c r="I36" s="8">
        <v>5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/>
      <c r="Q36" s="8"/>
      <c r="R36" s="8"/>
      <c r="S36" s="8"/>
      <c r="T36" s="8"/>
    </row>
    <row r="37" spans="1:20" x14ac:dyDescent="0.2">
      <c r="A37" s="7">
        <v>39702</v>
      </c>
      <c r="B37" s="8">
        <v>3</v>
      </c>
      <c r="C37" s="8" t="s">
        <v>33</v>
      </c>
      <c r="D37" s="8">
        <v>7</v>
      </c>
      <c r="E37" s="8" t="s">
        <v>15</v>
      </c>
      <c r="F37" s="8">
        <v>3</v>
      </c>
      <c r="G37" s="8">
        <v>6</v>
      </c>
      <c r="H37" s="9">
        <f t="shared" si="1"/>
        <v>2</v>
      </c>
      <c r="I37" s="8">
        <v>16</v>
      </c>
      <c r="J37" s="8">
        <v>1</v>
      </c>
      <c r="K37" s="8">
        <v>1</v>
      </c>
      <c r="L37" s="8">
        <v>1</v>
      </c>
      <c r="M37" s="8">
        <v>0</v>
      </c>
      <c r="N37" s="8">
        <v>0</v>
      </c>
      <c r="O37" s="8">
        <v>1</v>
      </c>
      <c r="P37" s="8"/>
      <c r="Q37" s="8"/>
      <c r="R37" s="8"/>
      <c r="S37" s="8"/>
      <c r="T37" s="8"/>
    </row>
    <row r="38" spans="1:20" x14ac:dyDescent="0.2">
      <c r="A38" s="7">
        <v>39706</v>
      </c>
      <c r="B38" s="8">
        <v>4</v>
      </c>
      <c r="C38" s="8" t="s">
        <v>33</v>
      </c>
      <c r="D38" s="8">
        <v>7</v>
      </c>
      <c r="E38" s="8" t="s">
        <v>15</v>
      </c>
      <c r="F38" s="8">
        <v>3</v>
      </c>
      <c r="G38" s="8">
        <v>3</v>
      </c>
      <c r="H38" s="9">
        <f t="shared" si="1"/>
        <v>1</v>
      </c>
      <c r="I38" s="8">
        <v>15</v>
      </c>
      <c r="J38" s="8">
        <v>12</v>
      </c>
      <c r="K38" s="8">
        <v>11</v>
      </c>
      <c r="L38" s="8">
        <v>10</v>
      </c>
      <c r="M38" s="8">
        <v>2</v>
      </c>
      <c r="N38" s="8">
        <v>5</v>
      </c>
      <c r="O38" s="8">
        <v>6</v>
      </c>
      <c r="P38" s="8"/>
      <c r="Q38" s="8"/>
      <c r="R38" s="8"/>
      <c r="S38" s="8"/>
      <c r="T38" s="8"/>
    </row>
    <row r="39" spans="1:20" x14ac:dyDescent="0.2">
      <c r="A39" s="7">
        <v>39713</v>
      </c>
      <c r="B39" s="8">
        <v>5</v>
      </c>
      <c r="C39" s="8" t="s">
        <v>33</v>
      </c>
      <c r="D39" s="8">
        <v>7</v>
      </c>
      <c r="E39" s="8" t="s">
        <v>15</v>
      </c>
      <c r="F39" s="8">
        <v>3</v>
      </c>
      <c r="G39" s="8">
        <v>1</v>
      </c>
      <c r="H39" s="9">
        <f t="shared" si="1"/>
        <v>0.33333333333333331</v>
      </c>
      <c r="I39" s="8">
        <v>2</v>
      </c>
      <c r="J39" s="8">
        <v>0</v>
      </c>
      <c r="K39" s="8">
        <v>1</v>
      </c>
      <c r="L39" s="8">
        <v>0</v>
      </c>
      <c r="M39" s="8">
        <v>0</v>
      </c>
      <c r="N39" s="8">
        <v>1</v>
      </c>
      <c r="O39" s="8">
        <v>0</v>
      </c>
      <c r="P39" s="8"/>
      <c r="Q39" s="8"/>
      <c r="R39" s="8"/>
      <c r="S39" s="8"/>
      <c r="T39" s="8"/>
    </row>
    <row r="40" spans="1:20" x14ac:dyDescent="0.2">
      <c r="A40" s="7">
        <v>39687</v>
      </c>
      <c r="B40" s="8">
        <v>1</v>
      </c>
      <c r="C40" s="8" t="s">
        <v>34</v>
      </c>
      <c r="D40" s="8">
        <v>8</v>
      </c>
      <c r="E40" s="8" t="s">
        <v>16</v>
      </c>
      <c r="F40" s="8">
        <v>3</v>
      </c>
      <c r="G40" s="8">
        <v>1</v>
      </c>
      <c r="H40" s="9">
        <f t="shared" si="1"/>
        <v>0.33333333333333331</v>
      </c>
      <c r="I40" s="18">
        <v>4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8"/>
      <c r="Q40" s="8"/>
      <c r="R40" s="8"/>
      <c r="S40" s="8"/>
      <c r="T40" s="8"/>
    </row>
    <row r="41" spans="1:20" x14ac:dyDescent="0.2">
      <c r="A41" s="7">
        <v>39694</v>
      </c>
      <c r="B41" s="8">
        <v>2</v>
      </c>
      <c r="C41" s="8" t="s">
        <v>34</v>
      </c>
      <c r="D41" s="8">
        <v>8</v>
      </c>
      <c r="E41" s="8" t="s">
        <v>16</v>
      </c>
      <c r="F41" s="8">
        <v>3</v>
      </c>
      <c r="G41" s="8">
        <v>4</v>
      </c>
      <c r="H41" s="9">
        <f t="shared" si="1"/>
        <v>1.3333333333333333</v>
      </c>
      <c r="I41" s="18">
        <v>4</v>
      </c>
      <c r="J41" s="18">
        <v>1</v>
      </c>
      <c r="K41" s="18">
        <v>1</v>
      </c>
      <c r="L41" s="18">
        <v>0</v>
      </c>
      <c r="M41" s="18">
        <v>1</v>
      </c>
      <c r="N41" s="18">
        <v>0</v>
      </c>
      <c r="O41" s="18">
        <v>1</v>
      </c>
      <c r="P41" s="8"/>
      <c r="Q41" s="8"/>
      <c r="R41" s="8"/>
      <c r="S41" s="8"/>
      <c r="T41" s="8"/>
    </row>
    <row r="42" spans="1:20" x14ac:dyDescent="0.2">
      <c r="A42" s="7">
        <v>39702</v>
      </c>
      <c r="B42" s="8">
        <v>3</v>
      </c>
      <c r="C42" s="8" t="s">
        <v>34</v>
      </c>
      <c r="D42" s="8">
        <v>8</v>
      </c>
      <c r="E42" s="8" t="s">
        <v>16</v>
      </c>
      <c r="F42" s="8">
        <v>3</v>
      </c>
      <c r="G42" s="8">
        <v>16</v>
      </c>
      <c r="H42" s="9">
        <f t="shared" si="1"/>
        <v>5.333333333333333</v>
      </c>
      <c r="I42" s="18">
        <v>37</v>
      </c>
      <c r="J42" s="18">
        <v>3</v>
      </c>
      <c r="K42" s="18">
        <v>3</v>
      </c>
      <c r="L42" s="18">
        <v>1</v>
      </c>
      <c r="M42" s="18">
        <v>2</v>
      </c>
      <c r="N42" s="18">
        <v>2</v>
      </c>
      <c r="O42" s="18">
        <v>1</v>
      </c>
      <c r="P42" s="8"/>
      <c r="Q42" s="8"/>
      <c r="R42" s="8"/>
      <c r="S42" s="8"/>
      <c r="T42" s="8"/>
    </row>
    <row r="43" spans="1:20" x14ac:dyDescent="0.2">
      <c r="A43" s="7">
        <v>39706</v>
      </c>
      <c r="B43" s="8">
        <v>4</v>
      </c>
      <c r="C43" s="8" t="s">
        <v>34</v>
      </c>
      <c r="D43" s="8">
        <v>8</v>
      </c>
      <c r="E43" s="8" t="s">
        <v>16</v>
      </c>
      <c r="F43" s="8">
        <v>3</v>
      </c>
      <c r="G43" s="8">
        <v>7</v>
      </c>
      <c r="H43" s="9">
        <f t="shared" si="1"/>
        <v>2.3333333333333335</v>
      </c>
      <c r="I43" s="18">
        <v>66</v>
      </c>
      <c r="J43" s="18">
        <v>14</v>
      </c>
      <c r="K43" s="18">
        <v>17</v>
      </c>
      <c r="L43" s="18">
        <v>12</v>
      </c>
      <c r="M43" s="18">
        <v>2</v>
      </c>
      <c r="N43" s="18">
        <v>13</v>
      </c>
      <c r="O43" s="18">
        <v>4</v>
      </c>
      <c r="P43" s="8"/>
      <c r="Q43" s="8"/>
      <c r="R43" s="8"/>
      <c r="S43" s="8"/>
      <c r="T43" s="8"/>
    </row>
    <row r="44" spans="1:20" x14ac:dyDescent="0.2">
      <c r="A44" s="7">
        <v>39713</v>
      </c>
      <c r="B44" s="8">
        <v>5</v>
      </c>
      <c r="C44" s="8" t="s">
        <v>34</v>
      </c>
      <c r="D44" s="8">
        <v>8</v>
      </c>
      <c r="E44" s="8" t="s">
        <v>16</v>
      </c>
      <c r="F44" s="8">
        <v>3</v>
      </c>
      <c r="G44" s="8">
        <v>7</v>
      </c>
      <c r="H44" s="9">
        <f t="shared" si="1"/>
        <v>2.3333333333333335</v>
      </c>
      <c r="I44" s="18">
        <v>9</v>
      </c>
      <c r="J44" s="18">
        <v>4</v>
      </c>
      <c r="K44" s="18">
        <v>14</v>
      </c>
      <c r="L44" s="18">
        <v>3</v>
      </c>
      <c r="M44" s="18">
        <v>1</v>
      </c>
      <c r="N44" s="18">
        <v>8</v>
      </c>
      <c r="O44" s="18">
        <v>6</v>
      </c>
      <c r="P44" s="8"/>
      <c r="Q44" s="8"/>
      <c r="R44" s="8"/>
      <c r="S44" s="8"/>
      <c r="T44" s="8"/>
    </row>
    <row r="45" spans="1:20" x14ac:dyDescent="0.2">
      <c r="A45" s="7">
        <v>39687</v>
      </c>
      <c r="B45" s="8">
        <v>1</v>
      </c>
      <c r="C45" s="8" t="s">
        <v>35</v>
      </c>
      <c r="D45" s="8">
        <v>9</v>
      </c>
      <c r="E45" s="8" t="s">
        <v>17</v>
      </c>
      <c r="F45" s="8">
        <v>4</v>
      </c>
      <c r="G45" s="8">
        <v>0</v>
      </c>
      <c r="H45" s="9">
        <f t="shared" si="1"/>
        <v>0</v>
      </c>
      <c r="I45" s="8">
        <v>1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/>
      <c r="Q45" s="8"/>
      <c r="R45" s="8"/>
      <c r="S45" s="8"/>
      <c r="T45" s="8"/>
    </row>
    <row r="46" spans="1:20" x14ac:dyDescent="0.2">
      <c r="A46" s="7">
        <v>39694</v>
      </c>
      <c r="B46" s="8">
        <v>2</v>
      </c>
      <c r="C46" s="8" t="s">
        <v>35</v>
      </c>
      <c r="D46" s="8">
        <v>9</v>
      </c>
      <c r="E46" s="8" t="s">
        <v>17</v>
      </c>
      <c r="F46" s="8">
        <v>4</v>
      </c>
      <c r="G46" s="8">
        <v>1</v>
      </c>
      <c r="H46" s="9">
        <f t="shared" si="1"/>
        <v>0.25</v>
      </c>
      <c r="I46" s="8">
        <v>3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/>
      <c r="Q46" s="8"/>
      <c r="R46" s="8"/>
      <c r="S46" s="8"/>
      <c r="T46" s="8"/>
    </row>
    <row r="47" spans="1:20" x14ac:dyDescent="0.2">
      <c r="A47" s="7">
        <v>39702</v>
      </c>
      <c r="B47" s="8">
        <v>3</v>
      </c>
      <c r="C47" s="8" t="s">
        <v>35</v>
      </c>
      <c r="D47" s="8">
        <v>9</v>
      </c>
      <c r="E47" s="8" t="s">
        <v>17</v>
      </c>
      <c r="F47" s="8">
        <v>4</v>
      </c>
      <c r="G47" s="8">
        <v>3</v>
      </c>
      <c r="H47" s="9">
        <f t="shared" si="1"/>
        <v>0.75</v>
      </c>
      <c r="I47" s="8">
        <v>8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/>
      <c r="Q47" s="8"/>
      <c r="R47" s="8"/>
      <c r="S47" s="8"/>
      <c r="T47" s="8"/>
    </row>
    <row r="48" spans="1:20" x14ac:dyDescent="0.2">
      <c r="A48" s="7">
        <v>39709</v>
      </c>
      <c r="B48" s="8">
        <v>4</v>
      </c>
      <c r="C48" s="8" t="s">
        <v>35</v>
      </c>
      <c r="D48" s="8">
        <v>9</v>
      </c>
      <c r="E48" s="8" t="s">
        <v>17</v>
      </c>
      <c r="F48" s="8">
        <v>4</v>
      </c>
      <c r="G48" s="8">
        <v>7</v>
      </c>
      <c r="H48" s="9">
        <f t="shared" si="1"/>
        <v>1.75</v>
      </c>
      <c r="I48" s="8">
        <v>20</v>
      </c>
      <c r="J48" s="8">
        <v>4</v>
      </c>
      <c r="K48" s="8">
        <v>4</v>
      </c>
      <c r="L48" s="8">
        <v>4</v>
      </c>
      <c r="M48" s="8">
        <v>0</v>
      </c>
      <c r="N48" s="8">
        <v>3</v>
      </c>
      <c r="O48" s="8">
        <v>1</v>
      </c>
      <c r="P48" s="8"/>
      <c r="Q48" s="8"/>
      <c r="R48" s="8"/>
      <c r="S48" s="8"/>
      <c r="T48" s="8"/>
    </row>
    <row r="49" spans="1:20" x14ac:dyDescent="0.2">
      <c r="A49" s="7">
        <v>39721</v>
      </c>
      <c r="B49" s="8">
        <v>5</v>
      </c>
      <c r="C49" s="8" t="s">
        <v>35</v>
      </c>
      <c r="D49" s="8">
        <v>9</v>
      </c>
      <c r="E49" s="8" t="s">
        <v>17</v>
      </c>
      <c r="F49" s="8">
        <v>4</v>
      </c>
      <c r="G49" s="8">
        <v>1</v>
      </c>
      <c r="H49" s="9">
        <f t="shared" si="1"/>
        <v>0.25</v>
      </c>
      <c r="I49" s="8">
        <v>1</v>
      </c>
      <c r="J49" s="8">
        <v>1</v>
      </c>
      <c r="K49" s="8">
        <v>4</v>
      </c>
      <c r="L49" s="8">
        <v>0</v>
      </c>
      <c r="M49" s="8">
        <v>1</v>
      </c>
      <c r="N49" s="8">
        <v>3</v>
      </c>
      <c r="O49" s="8">
        <v>1</v>
      </c>
      <c r="P49" s="8"/>
      <c r="Q49" s="8"/>
      <c r="R49" s="8"/>
      <c r="S49" s="8"/>
      <c r="T49" s="8"/>
    </row>
    <row r="50" spans="1:20" x14ac:dyDescent="0.2">
      <c r="A50" s="7">
        <v>39702</v>
      </c>
      <c r="B50" s="8">
        <v>1</v>
      </c>
      <c r="C50" s="8" t="s">
        <v>36</v>
      </c>
      <c r="D50" s="8">
        <v>10</v>
      </c>
      <c r="E50" s="8" t="s">
        <v>18</v>
      </c>
      <c r="F50" s="8">
        <v>5</v>
      </c>
      <c r="G50" s="8">
        <v>6</v>
      </c>
      <c r="H50" s="9">
        <f t="shared" si="1"/>
        <v>1.2</v>
      </c>
      <c r="I50" s="8">
        <v>7</v>
      </c>
      <c r="J50" s="8">
        <v>1</v>
      </c>
      <c r="K50" s="8">
        <v>0</v>
      </c>
      <c r="L50" s="8">
        <v>1</v>
      </c>
      <c r="M50" s="8">
        <v>0</v>
      </c>
      <c r="N50" s="8">
        <v>0</v>
      </c>
      <c r="O50" s="8">
        <v>0</v>
      </c>
      <c r="P50" s="8"/>
      <c r="Q50" s="8"/>
      <c r="R50" s="8"/>
      <c r="S50" s="8"/>
      <c r="T50" s="8"/>
    </row>
    <row r="51" spans="1:20" x14ac:dyDescent="0.2">
      <c r="A51" s="7">
        <v>39709</v>
      </c>
      <c r="B51" s="8">
        <v>2</v>
      </c>
      <c r="C51" s="8" t="s">
        <v>36</v>
      </c>
      <c r="D51" s="8">
        <v>10</v>
      </c>
      <c r="E51" s="8" t="s">
        <v>18</v>
      </c>
      <c r="F51" s="8">
        <v>5</v>
      </c>
      <c r="G51" s="8">
        <v>2</v>
      </c>
      <c r="H51" s="9">
        <f t="shared" si="1"/>
        <v>0.4</v>
      </c>
      <c r="I51" s="8">
        <v>5</v>
      </c>
      <c r="J51" s="8">
        <v>4</v>
      </c>
      <c r="K51" s="8">
        <v>2</v>
      </c>
      <c r="L51" s="8">
        <v>3</v>
      </c>
      <c r="M51" s="8">
        <v>1</v>
      </c>
      <c r="N51" s="8">
        <v>1</v>
      </c>
      <c r="O51" s="8">
        <v>1</v>
      </c>
      <c r="P51" s="8"/>
      <c r="Q51" s="8"/>
      <c r="R51" s="8"/>
      <c r="S51" s="8"/>
      <c r="T51" s="8"/>
    </row>
    <row r="52" spans="1:20" x14ac:dyDescent="0.2">
      <c r="A52" s="7">
        <v>39721</v>
      </c>
      <c r="B52" s="8">
        <v>3</v>
      </c>
      <c r="C52" s="8" t="s">
        <v>36</v>
      </c>
      <c r="D52" s="8">
        <v>10</v>
      </c>
      <c r="E52" s="8" t="s">
        <v>18</v>
      </c>
      <c r="F52" s="8">
        <v>5</v>
      </c>
      <c r="G52" s="8">
        <v>0</v>
      </c>
      <c r="H52" s="9">
        <f t="shared" si="1"/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/>
      <c r="Q52" s="8"/>
      <c r="R52" s="8"/>
      <c r="S52" s="8"/>
      <c r="T52" s="8"/>
    </row>
    <row r="53" spans="1:20" x14ac:dyDescent="0.2">
      <c r="A53" s="7">
        <v>39701</v>
      </c>
      <c r="B53" s="8">
        <v>1</v>
      </c>
      <c r="C53" s="8" t="s">
        <v>37</v>
      </c>
      <c r="D53" s="8">
        <v>11</v>
      </c>
      <c r="E53" s="8" t="s">
        <v>19</v>
      </c>
      <c r="F53" s="8">
        <v>4</v>
      </c>
      <c r="G53" s="8">
        <v>1</v>
      </c>
      <c r="H53" s="9">
        <f t="shared" si="1"/>
        <v>0.25</v>
      </c>
      <c r="I53" s="8">
        <v>3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/>
      <c r="Q53" s="8"/>
      <c r="R53" s="8"/>
      <c r="S53" s="8"/>
      <c r="T53" s="8"/>
    </row>
    <row r="54" spans="1:20" x14ac:dyDescent="0.2">
      <c r="A54" s="7">
        <v>39715</v>
      </c>
      <c r="B54" s="8">
        <v>2</v>
      </c>
      <c r="C54" s="8" t="s">
        <v>37</v>
      </c>
      <c r="D54" s="8">
        <v>11</v>
      </c>
      <c r="E54" s="8" t="s">
        <v>19</v>
      </c>
      <c r="F54" s="8">
        <v>4</v>
      </c>
      <c r="G54" s="8">
        <v>1</v>
      </c>
      <c r="H54" s="9">
        <f t="shared" si="1"/>
        <v>0.25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/>
      <c r="Q54" s="8"/>
      <c r="R54" s="8"/>
      <c r="S54" s="8"/>
      <c r="T54" s="8"/>
    </row>
    <row r="55" spans="1:20" x14ac:dyDescent="0.2">
      <c r="A55" s="7">
        <v>39717</v>
      </c>
      <c r="B55" s="8">
        <v>1</v>
      </c>
      <c r="C55" s="8" t="s">
        <v>38</v>
      </c>
      <c r="D55" s="8">
        <v>12</v>
      </c>
      <c r="E55" s="8" t="s">
        <v>20</v>
      </c>
      <c r="F55" s="8">
        <v>3</v>
      </c>
      <c r="G55" s="8">
        <v>0</v>
      </c>
      <c r="H55" s="9">
        <f t="shared" si="1"/>
        <v>0</v>
      </c>
      <c r="I55" s="8">
        <v>0</v>
      </c>
      <c r="J55" s="8">
        <v>0</v>
      </c>
      <c r="K55" s="8">
        <v>1</v>
      </c>
      <c r="L55" s="8">
        <v>0</v>
      </c>
      <c r="M55" s="8">
        <v>0</v>
      </c>
      <c r="N55" s="8">
        <v>0</v>
      </c>
      <c r="O55" s="8">
        <v>1</v>
      </c>
      <c r="P55" s="8"/>
      <c r="Q55" s="8"/>
      <c r="R55" s="8"/>
      <c r="S55" s="8"/>
      <c r="T55" s="8"/>
    </row>
    <row r="56" spans="1:20" x14ac:dyDescent="0.2">
      <c r="A56" s="7">
        <v>39716</v>
      </c>
      <c r="B56" s="8">
        <v>1</v>
      </c>
      <c r="C56" s="8" t="s">
        <v>124</v>
      </c>
      <c r="D56" s="8">
        <v>13</v>
      </c>
      <c r="E56" s="8" t="s">
        <v>21</v>
      </c>
      <c r="F56" s="8">
        <v>3</v>
      </c>
      <c r="G56" s="8">
        <v>1</v>
      </c>
      <c r="H56" s="9">
        <f t="shared" si="1"/>
        <v>0.33333333333333331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/>
      <c r="Q56" s="8"/>
      <c r="R56" s="8"/>
      <c r="S56" s="8"/>
      <c r="T56" s="8"/>
    </row>
    <row r="57" spans="1:20" ht="13.5" thickBot="1" x14ac:dyDescent="0.25">
      <c r="A57" s="7">
        <v>39716</v>
      </c>
      <c r="B57" s="8">
        <v>1</v>
      </c>
      <c r="C57" s="8" t="s">
        <v>123</v>
      </c>
      <c r="D57" s="8">
        <v>14</v>
      </c>
      <c r="E57" s="8" t="s">
        <v>22</v>
      </c>
      <c r="F57" s="68">
        <v>3</v>
      </c>
      <c r="G57" s="68">
        <v>0</v>
      </c>
      <c r="H57" s="69">
        <f t="shared" si="1"/>
        <v>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0</v>
      </c>
      <c r="O57" s="68">
        <v>0</v>
      </c>
      <c r="P57" s="8"/>
      <c r="Q57" s="8"/>
      <c r="R57" s="8"/>
      <c r="S57" s="8"/>
      <c r="T57" s="8"/>
    </row>
    <row r="58" spans="1:20" x14ac:dyDescent="0.2">
      <c r="A58" s="8"/>
      <c r="B58" s="8"/>
      <c r="C58" s="8"/>
      <c r="D58" s="8"/>
      <c r="E58" s="8"/>
      <c r="F58" s="2">
        <f>SUM(F4:F57)</f>
        <v>191</v>
      </c>
      <c r="G58" s="2">
        <f>SUM(G4:G57)</f>
        <v>199</v>
      </c>
      <c r="H58" s="64">
        <f t="shared" si="1"/>
        <v>1.0418848167539267</v>
      </c>
      <c r="I58" s="2">
        <f t="shared" ref="I58:O58" si="2">SUM(I4:I57)</f>
        <v>470</v>
      </c>
      <c r="J58" s="2">
        <f t="shared" si="2"/>
        <v>96</v>
      </c>
      <c r="K58" s="2">
        <f t="shared" si="2"/>
        <v>150</v>
      </c>
      <c r="L58" s="2">
        <f t="shared" si="2"/>
        <v>64</v>
      </c>
      <c r="M58" s="2">
        <f t="shared" si="2"/>
        <v>32</v>
      </c>
      <c r="N58" s="2">
        <f t="shared" si="2"/>
        <v>71</v>
      </c>
      <c r="O58" s="2">
        <f t="shared" si="2"/>
        <v>79</v>
      </c>
      <c r="P58" s="8"/>
      <c r="Q58" s="8"/>
      <c r="R58" s="8"/>
      <c r="S58" s="8"/>
      <c r="T58" s="8"/>
    </row>
    <row r="59" spans="1:20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2">
      <c r="A61" s="8"/>
      <c r="B61" s="8"/>
      <c r="C61" s="8"/>
      <c r="D61" s="10"/>
      <c r="E61" s="3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2">
      <c r="A62" s="8"/>
      <c r="B62" s="8"/>
      <c r="C62" s="8"/>
      <c r="D62" s="8"/>
      <c r="E62" s="6"/>
      <c r="F62" s="6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2">
      <c r="A63" s="8"/>
      <c r="B63" s="8"/>
      <c r="C63" s="8"/>
      <c r="D63" s="8"/>
      <c r="E63" s="6"/>
      <c r="F63" s="6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2">
      <c r="A64" s="8"/>
      <c r="B64" s="8"/>
      <c r="C64" s="8"/>
      <c r="D64" s="8"/>
      <c r="E64" s="6"/>
      <c r="F64" s="6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2">
      <c r="A65" s="8"/>
      <c r="B65" s="8"/>
      <c r="C65" s="8"/>
      <c r="D65" s="8"/>
      <c r="E65" s="6"/>
      <c r="F65" s="6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2">
      <c r="A66" s="8"/>
      <c r="B66" s="8"/>
      <c r="C66" s="8"/>
      <c r="D66" s="8"/>
      <c r="E66" s="6"/>
      <c r="F66" s="6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2">
      <c r="A67" s="8"/>
      <c r="B67" s="8"/>
      <c r="C67" s="8"/>
      <c r="D67" s="8"/>
      <c r="E67" s="6"/>
      <c r="F67" s="6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2">
      <c r="A68" s="8"/>
      <c r="B68" s="8"/>
      <c r="C68" s="8"/>
      <c r="D68" s="8"/>
      <c r="E68" s="6"/>
      <c r="F68" s="6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2">
      <c r="A69" s="8"/>
      <c r="B69" s="8"/>
      <c r="C69" s="8"/>
      <c r="D69" s="8"/>
      <c r="E69" s="6"/>
      <c r="F69" s="6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2">
      <c r="A70" s="8"/>
      <c r="B70" s="8"/>
      <c r="C70" s="8"/>
      <c r="D70" s="8"/>
      <c r="E70" s="6"/>
      <c r="F70" s="6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2">
      <c r="A71" s="8"/>
      <c r="B71" s="8"/>
      <c r="C71" s="8"/>
      <c r="D71" s="8"/>
      <c r="E71" s="6"/>
      <c r="F71" s="6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2">
      <c r="A72" s="8"/>
      <c r="B72" s="8"/>
      <c r="C72" s="8"/>
      <c r="D72" s="8"/>
      <c r="E72" s="6"/>
      <c r="F72" s="6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2">
      <c r="A73" s="8"/>
      <c r="B73" s="8"/>
      <c r="C73" s="8"/>
      <c r="D73" s="8"/>
      <c r="E73" s="6"/>
      <c r="F73" s="6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2">
      <c r="A74" s="8"/>
      <c r="B74" s="8"/>
      <c r="C74" s="8"/>
      <c r="D74" s="8"/>
      <c r="E74" s="6"/>
      <c r="F74" s="6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2">
      <c r="A75" s="8"/>
      <c r="B75" s="8"/>
      <c r="C75" s="8"/>
      <c r="D75" s="8"/>
      <c r="E75" s="6"/>
      <c r="F75" s="6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2">
      <c r="A76" s="8"/>
      <c r="B76" s="8"/>
      <c r="C76" s="8"/>
      <c r="D76" s="1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2">
      <c r="A77" s="8"/>
      <c r="B77" s="8"/>
      <c r="C77" s="8"/>
      <c r="D77" s="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2">
      <c r="A78" s="8"/>
      <c r="B78" s="8"/>
      <c r="C78" s="8"/>
      <c r="D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2">
      <c r="A79" s="8"/>
      <c r="B79" s="8"/>
      <c r="C79" s="8"/>
      <c r="D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2">
      <c r="A80" s="8"/>
      <c r="B80" s="8"/>
      <c r="C80" s="8"/>
      <c r="D80" s="8"/>
      <c r="F80" s="6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2">
      <c r="A81" s="8"/>
      <c r="B81" s="8"/>
      <c r="C81" s="8"/>
      <c r="D81" s="12"/>
      <c r="E81" s="6"/>
      <c r="F81" s="6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2">
      <c r="A82" s="8"/>
      <c r="B82" s="8"/>
      <c r="C82" s="8"/>
      <c r="D82" s="12"/>
      <c r="E82" s="6"/>
      <c r="F82" s="6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2">
      <c r="A83" s="8"/>
      <c r="B83" s="8"/>
      <c r="C83" s="8"/>
      <c r="D83" s="12"/>
      <c r="E83" s="6"/>
      <c r="F83" s="6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2">
      <c r="A84" s="8"/>
      <c r="B84" s="8"/>
      <c r="C84" s="8"/>
      <c r="D84" s="12"/>
      <c r="E84" s="6"/>
      <c r="F84" s="6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2">
      <c r="A85" s="8"/>
      <c r="B85" s="8"/>
      <c r="C85" s="8"/>
      <c r="D85" s="12"/>
      <c r="E85" s="6"/>
      <c r="F85" s="6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2">
      <c r="A86" s="8"/>
      <c r="B86" s="8"/>
      <c r="C86" s="8"/>
      <c r="D86" s="12"/>
      <c r="E86" s="6"/>
      <c r="F86" s="6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2">
      <c r="A87" s="8"/>
      <c r="B87" s="8"/>
      <c r="C87" s="8"/>
      <c r="D87" s="12"/>
      <c r="E87" s="6"/>
      <c r="F87" s="6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2">
      <c r="A88" s="8"/>
      <c r="B88" s="8"/>
      <c r="C88" s="8"/>
      <c r="D88" s="12"/>
      <c r="E88" s="6"/>
      <c r="F88" s="6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2">
      <c r="A89" s="8"/>
      <c r="B89" s="8"/>
      <c r="C89" s="8"/>
      <c r="D89" s="12"/>
      <c r="E89" s="6"/>
      <c r="F89" s="6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2">
      <c r="A90" s="8"/>
      <c r="B90" s="8"/>
      <c r="C90" s="8"/>
      <c r="D90" s="12"/>
      <c r="E90" s="6"/>
      <c r="F90" s="6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2">
      <c r="A91" s="8"/>
      <c r="B91" s="8"/>
      <c r="C91" s="8"/>
      <c r="D91" s="12"/>
      <c r="E91" s="6"/>
      <c r="F91" s="6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2">
      <c r="A92" s="8"/>
      <c r="B92" s="8"/>
      <c r="C92" s="8"/>
      <c r="D92" s="12"/>
      <c r="E92" s="6"/>
      <c r="F92" s="6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2">
      <c r="A93" s="8"/>
      <c r="B93" s="8"/>
      <c r="C93" s="8"/>
      <c r="D93" s="12"/>
      <c r="E93" s="6"/>
      <c r="F93" s="6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2">
      <c r="A94" s="8"/>
      <c r="B94" s="8"/>
      <c r="C94" s="8"/>
      <c r="D94" s="12"/>
      <c r="E94" s="6"/>
      <c r="F94" s="6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2">
      <c r="A95" s="8"/>
      <c r="B95" s="8"/>
      <c r="C95" s="8"/>
      <c r="D95" s="12"/>
      <c r="E95" s="6"/>
      <c r="F95" s="6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2">
      <c r="A96" s="8"/>
      <c r="B96" s="8"/>
      <c r="C96" s="8"/>
      <c r="D96" s="12"/>
      <c r="F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2">
      <c r="A97" s="8"/>
      <c r="B97" s="8"/>
      <c r="C97" s="8"/>
      <c r="D97" s="11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2">
      <c r="A98" s="8"/>
      <c r="B98" s="8"/>
      <c r="C98" s="8"/>
      <c r="D98" s="11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2">
      <c r="A99" s="8"/>
      <c r="B99" s="8"/>
      <c r="C99" s="8"/>
      <c r="D99" s="11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spans="1:20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spans="1:20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spans="1:20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spans="1:20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spans="1:20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spans="1:20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spans="1:20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 spans="1:20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 spans="1:20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spans="1:20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 spans="1:20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 spans="1:20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spans="1:20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 spans="1:20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spans="1:20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 spans="1:20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spans="1:20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spans="1:20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spans="1:20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spans="1:20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 spans="1:20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spans="1:20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spans="1:20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spans="1:20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spans="1:20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spans="1:20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spans="1:20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spans="1:20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spans="1:20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spans="1:20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spans="1:20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spans="1:20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spans="1:20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spans="1:20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spans="1:20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spans="1:20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spans="1:20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spans="1:20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spans="1:2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spans="1:20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spans="1:20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spans="1:20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spans="1:20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spans="1:20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spans="1:20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 spans="1:20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spans="1:20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 spans="1:20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 spans="1:20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 spans="1:20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 spans="1:20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 spans="1:20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 spans="1:20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 spans="1:20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 spans="1:20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spans="1:20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 spans="1:20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 spans="1:20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 spans="1:20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 spans="1:20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spans="1:20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 spans="1:20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 spans="1:20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spans="1:20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 spans="1:20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 spans="1:20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 spans="1:20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spans="1:20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 spans="1:20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 spans="1:20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 spans="1:20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 spans="1:20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 spans="1:20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 spans="1:20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spans="1:20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 spans="1:20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 spans="1:20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 spans="1:20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 spans="1:20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 spans="1:20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 spans="1:20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 spans="1:20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 spans="1:20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 spans="1:20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 spans="1:20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 spans="1:20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 spans="1:20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 spans="1:20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spans="1:20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 spans="1:20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 spans="1:20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 spans="1:20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 spans="1:20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 spans="1:20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 spans="1:20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 spans="1:20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 spans="1:20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 spans="1:20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 spans="1:20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 spans="1:20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 spans="1:20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 spans="1:20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 spans="1:20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 spans="1:20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 spans="1:20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 spans="1:20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 spans="1:20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 spans="1:20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 spans="1:20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 spans="1:20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 spans="1:20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 spans="1:20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 spans="1:20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 spans="1:20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 spans="1:20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 spans="1:20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 spans="1:20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 spans="1:20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 spans="1:20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 spans="1:20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 spans="1:20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 spans="1:20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 spans="1:20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 spans="1:20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 spans="1:20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 spans="1:20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 spans="1:20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 spans="1:20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 spans="1:20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 spans="1:20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spans="1:20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 spans="1:20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 spans="1:20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spans="1:20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 spans="1:20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 spans="1:20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 spans="1:20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 spans="1:20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 spans="1:20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 spans="1:20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 spans="1:20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 spans="1:20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 spans="1:20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 spans="1:20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 spans="1:20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 spans="1:20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 spans="1:20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 spans="1:20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 spans="1:20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spans="1:20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 spans="1:20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spans="1:20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spans="1:20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spans="1:20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spans="1:20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spans="1:20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spans="1:20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spans="1:20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spans="1:20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spans="1:20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spans="1:20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spans="1:20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spans="1:20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spans="1:20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spans="1:20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spans="1:20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spans="1:20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spans="1:20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spans="1:20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spans="1:20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spans="1:20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spans="1:20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spans="1:20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spans="1:20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spans="1:20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spans="1:20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spans="1:20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spans="1:20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spans="1:20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spans="1:20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spans="1:20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spans="1:20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spans="1:20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spans="1:20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spans="1:20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spans="1:20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spans="1:20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spans="1:20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spans="1:20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spans="1:20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spans="1:20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spans="1:20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spans="1:20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spans="1:20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spans="1:20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spans="1:20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spans="1:20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spans="1:20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spans="1:20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spans="1:20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spans="1:20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spans="1:20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spans="1:20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spans="1:20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spans="1:20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spans="1:20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spans="1:20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spans="1:20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spans="1:20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spans="1:20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spans="1:20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spans="1:20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spans="1:20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spans="1:20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spans="1:20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spans="1:20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spans="1:20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spans="1:20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spans="1:20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spans="1:20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spans="1:20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spans="1:20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spans="1:20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spans="1:20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spans="1:20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spans="1:20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spans="1:20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spans="1:20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spans="1:20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spans="1:20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spans="1:20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spans="1:20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spans="1:20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spans="1:20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spans="1:20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spans="1:20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spans="1:20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spans="1:20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spans="1:20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spans="1:20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spans="1:20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spans="1:20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spans="1:20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spans="1:20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spans="1:20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spans="1:20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spans="1:20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spans="1:20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spans="1:20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spans="1:20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spans="1:20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spans="1:20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spans="1:20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spans="1:20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spans="1:20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spans="1:20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spans="1:20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spans="1:20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spans="1:20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spans="1:20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spans="1:20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spans="1:20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spans="1:20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spans="1:20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spans="1:20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spans="1:20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spans="1:20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spans="1:20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spans="1:20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spans="1:20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spans="1:20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spans="1:20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spans="1:20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spans="1:20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spans="1:20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spans="1:20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spans="1:20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spans="1:20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spans="1:20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spans="1:20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spans="1:20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spans="1:20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spans="1:20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spans="1:20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spans="1:20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spans="1:20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 spans="1:20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 spans="1:20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 spans="1:20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spans="1:20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 spans="1:20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spans="1:20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 spans="1:20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 spans="1:20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spans="1:20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spans="1:20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 spans="1:20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 spans="1:20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 spans="1:20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spans="1:20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 spans="1:20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 spans="1:20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 spans="1:20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spans="1:20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 spans="1:20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 spans="1:20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 spans="1:20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 spans="1:20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 spans="1:20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spans="1:20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 spans="1:20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 spans="1:20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 spans="1:20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spans="1:20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 spans="1:20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spans="1:20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 spans="1:20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spans="1:20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 spans="1:20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spans="1:20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spans="1:20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spans="1:20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 spans="1:20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spans="1:20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 spans="1:20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spans="1:20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 spans="1:20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spans="1:20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 spans="1:20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spans="1:20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 spans="1:20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spans="1:20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 spans="1:20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 spans="1:20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spans="1:20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 spans="1:20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 spans="1:20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spans="1:20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spans="1:20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spans="1:20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 spans="1:20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spans="1:20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 spans="1:20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 spans="1:20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spans="1:20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spans="1:20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spans="1:20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 spans="1:20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 spans="1:20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spans="1:20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 spans="1:20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 spans="1:20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 spans="1:20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 spans="1:20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 spans="1:20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 spans="1:20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 spans="1:20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 spans="1:20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 spans="1:20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 spans="1:20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 spans="1:20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 spans="1:20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 spans="1:20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 spans="1:20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 spans="1:20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 spans="1:20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 spans="1:20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 spans="1:20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 spans="1:20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 spans="1:20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 spans="1:20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 spans="1:20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 spans="1:20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 spans="1:20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 spans="1:20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 spans="1:20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 spans="1:20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 spans="1:20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 spans="1:20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 spans="1:20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 spans="1:20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 spans="1:20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 spans="1:20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 spans="1:20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 spans="1:20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 spans="1:20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 spans="1:20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 spans="1:20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 spans="1:20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 spans="1:20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 spans="1:20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 spans="1:20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 spans="1:20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 spans="1:20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 spans="1:20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 spans="1:20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 spans="1:20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 spans="1:20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 spans="1:20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 spans="1:20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 spans="1:20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 spans="1:20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 spans="1:20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 spans="1:20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 spans="1:20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 spans="1:20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 spans="1:20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 spans="1:20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 spans="1:20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 spans="1:20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 spans="1:20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 spans="1:20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 spans="1:20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 spans="1:20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 spans="1:20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 spans="1:20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 spans="1:20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 spans="1:20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 spans="1:20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 spans="1:20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 spans="1:20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 spans="1:20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 spans="1:20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 spans="1:20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 spans="1:20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 spans="1:20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 spans="1:20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 spans="1:20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 spans="1:20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 spans="1:20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 spans="1:20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 spans="1:20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 spans="1:20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 spans="1:20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 spans="1:20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 spans="1:20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 spans="1:20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 spans="1:20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 spans="1:20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spans="1:20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 spans="1:20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 spans="1:20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 spans="1:20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 spans="1:20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 spans="1:20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 spans="1:20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 spans="1:20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 spans="1:20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 spans="1:20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 spans="1:20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 spans="1:20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 spans="1:20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 spans="1:20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 spans="1:20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 spans="1:20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 spans="1:20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 spans="1:20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 spans="1:20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 spans="1:20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 spans="1:20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 spans="1:20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 spans="1:20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 spans="1:20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 spans="1:20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 spans="1:20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 spans="1:20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 spans="1:20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 spans="1:20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 spans="1:20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 spans="1:20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 spans="1:20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 spans="1:20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 spans="1:20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 spans="1:20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 spans="1:20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 spans="1:20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 spans="1:20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 spans="1:20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 spans="1:20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 spans="1:20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 spans="1:20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 spans="1:20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 spans="1:20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 spans="1:20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 spans="1:20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 spans="1:20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 spans="1:20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 spans="1:20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 spans="1:20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 spans="1:20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 spans="1:20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 spans="1:20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 spans="1:20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 spans="1:20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 spans="1:20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 spans="1:20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 spans="1:20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 spans="1:20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 spans="1:20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 spans="1:20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 spans="1:20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 spans="1:20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 spans="1:20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 spans="1:20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 spans="1:20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 spans="1:20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 spans="1:20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 spans="1:20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 spans="1:20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 spans="1:20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 spans="1:20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 spans="1:20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 spans="1:20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 spans="1:20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 spans="1:20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 spans="1:20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 spans="1:20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 spans="1:20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 spans="1:20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 spans="1:20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 spans="1:20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 spans="1:20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 spans="1:20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 spans="1:20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 spans="1:20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 spans="1:20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 spans="1:20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 spans="1:20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 spans="1:20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 spans="1:20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 spans="1:20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 spans="1:20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 spans="1:20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 spans="1:20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 spans="1:20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 spans="1:20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 spans="1:20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 spans="1:20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 spans="1:20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 spans="1:20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 spans="1:20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 spans="1:20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 spans="1:20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 spans="1:20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 spans="1:20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 spans="1:20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 spans="1:20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 spans="1:20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 spans="1:20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 spans="1:20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 spans="1:20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 spans="1:20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 spans="1:20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 spans="1:20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 spans="1:20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 spans="1:20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 spans="1:20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 spans="1:20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 spans="1:20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 spans="1:20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 spans="1:20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 spans="1:20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 spans="1:20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 spans="1:20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 spans="1:20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 spans="1:20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 spans="1:20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 spans="1:20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 spans="1:20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 spans="1:20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 spans="1:20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 spans="1:20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 spans="1:20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 spans="1:20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 spans="1:20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 spans="1:20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 spans="1:20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 spans="1:20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 spans="1:20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 spans="1:20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 spans="1:20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 spans="1:20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 spans="1:20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 spans="1:20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 spans="1:20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 spans="1:20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 spans="1:20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 spans="1:20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 spans="1:20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 spans="1:20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 spans="1:20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 spans="1:20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 spans="1:20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 spans="1:20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 spans="1:20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 spans="1:20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 spans="1:20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 spans="1:20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 spans="1:20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 spans="1:20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 spans="1:20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 spans="1:20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 spans="1:20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 spans="1:20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 spans="1:20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 spans="1:20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 spans="1:20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 spans="1:20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 spans="1:20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 spans="1:20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 spans="1:20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 spans="1:20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 spans="1:20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 spans="1:20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 spans="1:20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 spans="1:20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 spans="1:20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 spans="1:20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 spans="1:20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 spans="1:20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 spans="1:20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 spans="1:20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 spans="1:20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 spans="1:20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 spans="1:20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 spans="1:20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</sheetData>
  <phoneticPr fontId="0" type="noConversion"/>
  <pageMargins left="0.75" right="0.75" top="1" bottom="1" header="0.5" footer="0.5"/>
  <pageSetup orientation="portrait" verticalDpi="0" r:id="rId1"/>
  <headerFooter alignWithMargins="0"/>
  <ignoredErrors>
    <ignoredError sqref="H58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23"/>
  <sheetViews>
    <sheetView workbookViewId="0">
      <pane ySplit="3" topLeftCell="A20" activePane="bottomLeft" state="frozen"/>
      <selection pane="bottomLeft" activeCell="G43" sqref="G43:G57"/>
    </sheetView>
  </sheetViews>
  <sheetFormatPr defaultRowHeight="12.75" x14ac:dyDescent="0.2"/>
  <cols>
    <col min="5" max="5" width="30.7109375" customWidth="1"/>
    <col min="6" max="6" width="11.28515625" customWidth="1"/>
  </cols>
  <sheetData>
    <row r="1" spans="1:24" x14ac:dyDescent="0.2">
      <c r="A1" s="2"/>
      <c r="B1" s="2"/>
      <c r="C1" s="2"/>
      <c r="D1" s="2"/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24" x14ac:dyDescent="0.2">
      <c r="A2" s="2" t="s">
        <v>0</v>
      </c>
      <c r="B2" s="2" t="s">
        <v>1</v>
      </c>
      <c r="C2" s="2" t="s">
        <v>108</v>
      </c>
      <c r="D2" s="2" t="s">
        <v>113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24" ht="13.5" thickBot="1" x14ac:dyDescent="0.25">
      <c r="A3" s="1"/>
      <c r="D3" s="2" t="s">
        <v>114</v>
      </c>
      <c r="I3" s="1"/>
      <c r="J3" s="4" t="s">
        <v>6</v>
      </c>
      <c r="K3" s="4" t="s">
        <v>7</v>
      </c>
      <c r="L3" s="1" t="s">
        <v>109</v>
      </c>
      <c r="M3" s="21" t="s">
        <v>110</v>
      </c>
      <c r="N3" s="21" t="s">
        <v>111</v>
      </c>
      <c r="O3" s="21" t="s">
        <v>112</v>
      </c>
    </row>
    <row r="4" spans="1:24" x14ac:dyDescent="0.2">
      <c r="A4" s="7">
        <v>39323</v>
      </c>
      <c r="B4" s="8">
        <v>1</v>
      </c>
      <c r="C4" s="8" t="s">
        <v>27</v>
      </c>
      <c r="D4" s="8">
        <v>1</v>
      </c>
      <c r="E4" s="8" t="s">
        <v>9</v>
      </c>
      <c r="F4" s="8">
        <v>6</v>
      </c>
      <c r="G4" s="8">
        <v>0</v>
      </c>
      <c r="H4" s="9">
        <f t="shared" ref="H4:H35" si="0">G4/F4</f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/>
      <c r="Q4" s="1"/>
      <c r="R4" s="1"/>
      <c r="S4" s="1"/>
      <c r="T4" s="1"/>
      <c r="U4" s="1"/>
      <c r="V4" s="1"/>
      <c r="W4" s="1"/>
    </row>
    <row r="5" spans="1:24" x14ac:dyDescent="0.2">
      <c r="A5" s="7">
        <v>39337</v>
      </c>
      <c r="B5" s="8">
        <v>3</v>
      </c>
      <c r="C5" s="8" t="s">
        <v>27</v>
      </c>
      <c r="D5" s="8">
        <v>1</v>
      </c>
      <c r="E5" s="8" t="s">
        <v>9</v>
      </c>
      <c r="F5" s="8">
        <v>6</v>
      </c>
      <c r="G5" s="8">
        <v>0</v>
      </c>
      <c r="H5" s="9">
        <f t="shared" si="0"/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/>
      <c r="Q5" s="1"/>
      <c r="R5" s="1"/>
      <c r="S5" s="1"/>
      <c r="T5" s="1"/>
      <c r="U5" s="1"/>
      <c r="V5" s="1"/>
      <c r="W5" s="1"/>
      <c r="X5" s="1"/>
    </row>
    <row r="6" spans="1:24" x14ac:dyDescent="0.2">
      <c r="A6" s="7">
        <v>39344</v>
      </c>
      <c r="B6" s="8">
        <v>4</v>
      </c>
      <c r="C6" s="8" t="s">
        <v>27</v>
      </c>
      <c r="D6" s="8">
        <v>1</v>
      </c>
      <c r="E6" s="8" t="s">
        <v>9</v>
      </c>
      <c r="F6" s="8">
        <v>6</v>
      </c>
      <c r="G6" s="8">
        <v>0</v>
      </c>
      <c r="H6" s="9">
        <f t="shared" si="0"/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/>
      <c r="Q6" s="1"/>
      <c r="R6" s="1"/>
      <c r="S6" s="1"/>
      <c r="T6" s="1"/>
      <c r="U6" s="1"/>
      <c r="V6" s="1"/>
      <c r="W6" s="1"/>
      <c r="X6" s="1"/>
    </row>
    <row r="7" spans="1:24" x14ac:dyDescent="0.2">
      <c r="A7" s="7">
        <v>39350</v>
      </c>
      <c r="B7" s="8">
        <v>5</v>
      </c>
      <c r="C7" s="8" t="s">
        <v>27</v>
      </c>
      <c r="D7" s="8">
        <v>1</v>
      </c>
      <c r="E7" s="8" t="s">
        <v>9</v>
      </c>
      <c r="F7" s="8">
        <v>6</v>
      </c>
      <c r="G7" s="8">
        <v>0</v>
      </c>
      <c r="H7" s="9">
        <f t="shared" si="0"/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/>
      <c r="Q7" s="1"/>
      <c r="R7" s="1"/>
      <c r="S7" s="1"/>
      <c r="T7" s="1"/>
      <c r="U7" s="1"/>
      <c r="V7" s="1"/>
      <c r="W7" s="1"/>
      <c r="X7" s="1"/>
    </row>
    <row r="8" spans="1:24" x14ac:dyDescent="0.2">
      <c r="A8" s="7">
        <v>39323</v>
      </c>
      <c r="B8" s="8">
        <v>1</v>
      </c>
      <c r="C8" s="8" t="s">
        <v>28</v>
      </c>
      <c r="D8" s="8">
        <v>2</v>
      </c>
      <c r="E8" s="8" t="s">
        <v>10</v>
      </c>
      <c r="F8" s="8">
        <v>3</v>
      </c>
      <c r="G8" s="8">
        <v>0</v>
      </c>
      <c r="H8" s="9">
        <f t="shared" si="0"/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/>
      <c r="Q8" s="1"/>
      <c r="R8" s="1"/>
      <c r="S8" s="1"/>
      <c r="T8" s="1"/>
      <c r="U8" s="1"/>
      <c r="V8" s="1"/>
      <c r="W8" s="1"/>
      <c r="X8" s="1"/>
    </row>
    <row r="9" spans="1:24" x14ac:dyDescent="0.2">
      <c r="A9" s="7">
        <v>39330</v>
      </c>
      <c r="B9" s="8">
        <v>2</v>
      </c>
      <c r="C9" s="8" t="s">
        <v>28</v>
      </c>
      <c r="D9" s="8">
        <v>2</v>
      </c>
      <c r="E9" s="8" t="s">
        <v>10</v>
      </c>
      <c r="F9" s="8">
        <v>3</v>
      </c>
      <c r="G9" s="8">
        <v>2</v>
      </c>
      <c r="H9" s="9">
        <f t="shared" si="0"/>
        <v>0.66666666666666663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/>
      <c r="Q9" s="1"/>
      <c r="R9" s="1"/>
      <c r="S9" s="1"/>
      <c r="T9" s="1"/>
      <c r="U9" s="1"/>
      <c r="V9" s="1"/>
      <c r="W9" s="1"/>
      <c r="X9" s="1"/>
    </row>
    <row r="10" spans="1:24" x14ac:dyDescent="0.2">
      <c r="A10" s="7">
        <v>39337</v>
      </c>
      <c r="B10" s="8">
        <v>3</v>
      </c>
      <c r="C10" s="8" t="s">
        <v>28</v>
      </c>
      <c r="D10" s="8">
        <v>2</v>
      </c>
      <c r="E10" s="8" t="s">
        <v>10</v>
      </c>
      <c r="F10" s="8">
        <v>3</v>
      </c>
      <c r="G10" s="8">
        <v>0</v>
      </c>
      <c r="H10" s="9">
        <f t="shared" si="0"/>
        <v>0</v>
      </c>
      <c r="I10" s="8">
        <v>2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/>
      <c r="Q10" s="1"/>
      <c r="R10" s="1"/>
      <c r="S10" s="1"/>
      <c r="T10" s="1"/>
      <c r="U10" s="1"/>
      <c r="V10" s="1"/>
      <c r="W10" s="1"/>
      <c r="X10" s="1"/>
    </row>
    <row r="11" spans="1:24" x14ac:dyDescent="0.2">
      <c r="A11" s="7">
        <v>39344</v>
      </c>
      <c r="B11" s="8">
        <v>4</v>
      </c>
      <c r="C11" s="8" t="s">
        <v>28</v>
      </c>
      <c r="D11" s="8">
        <v>2</v>
      </c>
      <c r="E11" s="8" t="s">
        <v>10</v>
      </c>
      <c r="F11" s="8">
        <v>3</v>
      </c>
      <c r="G11" s="8">
        <v>0</v>
      </c>
      <c r="H11" s="9">
        <f t="shared" si="0"/>
        <v>0</v>
      </c>
      <c r="I11" s="8">
        <v>0</v>
      </c>
      <c r="J11" s="8">
        <v>0</v>
      </c>
      <c r="K11" s="8">
        <v>1</v>
      </c>
      <c r="L11" s="8">
        <v>0</v>
      </c>
      <c r="M11" s="8">
        <v>0</v>
      </c>
      <c r="N11" s="8">
        <v>0</v>
      </c>
      <c r="O11" s="8">
        <v>1</v>
      </c>
      <c r="P11" s="8"/>
      <c r="Q11" s="1"/>
      <c r="R11" s="1"/>
      <c r="S11" s="1"/>
      <c r="T11" s="1"/>
      <c r="U11" s="1"/>
      <c r="V11" s="1"/>
      <c r="W11" s="1"/>
      <c r="X11" s="1"/>
    </row>
    <row r="12" spans="1:24" x14ac:dyDescent="0.2">
      <c r="A12" s="7">
        <v>39350</v>
      </c>
      <c r="B12" s="8">
        <v>5</v>
      </c>
      <c r="C12" s="8" t="s">
        <v>28</v>
      </c>
      <c r="D12" s="8">
        <v>2</v>
      </c>
      <c r="E12" s="8" t="s">
        <v>10</v>
      </c>
      <c r="F12" s="8">
        <v>3</v>
      </c>
      <c r="G12" s="8">
        <v>0</v>
      </c>
      <c r="H12" s="9">
        <f t="shared" si="0"/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/>
      <c r="Q12" s="1"/>
      <c r="R12" s="1"/>
      <c r="S12" s="1"/>
      <c r="T12" s="1"/>
      <c r="U12" s="1"/>
      <c r="V12" s="1"/>
      <c r="W12" s="1"/>
      <c r="X12" s="1"/>
    </row>
    <row r="13" spans="1:24" x14ac:dyDescent="0.2">
      <c r="A13" s="7">
        <v>39323</v>
      </c>
      <c r="B13" s="8">
        <v>1</v>
      </c>
      <c r="C13" s="8" t="s">
        <v>29</v>
      </c>
      <c r="D13" s="8">
        <v>3</v>
      </c>
      <c r="E13" s="8" t="s">
        <v>11</v>
      </c>
      <c r="F13" s="8">
        <v>2</v>
      </c>
      <c r="G13" s="8">
        <v>0</v>
      </c>
      <c r="H13" s="9">
        <f t="shared" si="0"/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/>
      <c r="Q13" s="1"/>
      <c r="R13" s="1"/>
      <c r="S13" s="1"/>
      <c r="T13" s="1"/>
      <c r="U13" s="1"/>
      <c r="V13" s="1"/>
      <c r="W13" s="1"/>
      <c r="X13" s="1"/>
    </row>
    <row r="14" spans="1:24" x14ac:dyDescent="0.2">
      <c r="A14" s="7">
        <v>39330</v>
      </c>
      <c r="B14" s="8">
        <v>2</v>
      </c>
      <c r="C14" s="8" t="s">
        <v>29</v>
      </c>
      <c r="D14" s="8">
        <v>3</v>
      </c>
      <c r="E14" s="8" t="s">
        <v>11</v>
      </c>
      <c r="F14" s="8">
        <v>2</v>
      </c>
      <c r="G14" s="8">
        <v>0</v>
      </c>
      <c r="H14" s="9">
        <f t="shared" si="0"/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/>
      <c r="Q14" s="1"/>
      <c r="R14" s="1"/>
      <c r="S14" s="1"/>
      <c r="T14" s="1"/>
      <c r="U14" s="1"/>
      <c r="V14" s="1"/>
      <c r="W14" s="1"/>
      <c r="X14" s="1"/>
    </row>
    <row r="15" spans="1:24" x14ac:dyDescent="0.2">
      <c r="A15" s="7">
        <v>39337</v>
      </c>
      <c r="B15" s="8">
        <v>3</v>
      </c>
      <c r="C15" s="8" t="s">
        <v>29</v>
      </c>
      <c r="D15" s="8">
        <v>3</v>
      </c>
      <c r="E15" s="8" t="s">
        <v>11</v>
      </c>
      <c r="F15" s="8">
        <v>2</v>
      </c>
      <c r="G15" s="8">
        <v>1</v>
      </c>
      <c r="H15" s="9">
        <f t="shared" si="0"/>
        <v>0.5</v>
      </c>
      <c r="I15" s="8">
        <v>2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/>
      <c r="Q15" s="1"/>
      <c r="R15" s="1"/>
      <c r="S15" s="1"/>
      <c r="T15" s="1"/>
      <c r="U15" s="1"/>
      <c r="V15" s="1"/>
      <c r="W15" s="1"/>
      <c r="X15" s="1"/>
    </row>
    <row r="16" spans="1:24" x14ac:dyDescent="0.2">
      <c r="A16" s="7">
        <v>39344</v>
      </c>
      <c r="B16" s="8">
        <v>4</v>
      </c>
      <c r="C16" s="8" t="s">
        <v>29</v>
      </c>
      <c r="D16" s="8">
        <v>3</v>
      </c>
      <c r="E16" s="8" t="s">
        <v>11</v>
      </c>
      <c r="F16" s="8">
        <v>2</v>
      </c>
      <c r="G16" s="8">
        <v>0</v>
      </c>
      <c r="H16" s="9">
        <f t="shared" si="0"/>
        <v>0</v>
      </c>
      <c r="I16" s="8">
        <v>1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/>
      <c r="Q16" s="1"/>
      <c r="R16" s="1"/>
      <c r="S16" s="1"/>
      <c r="T16" s="1"/>
      <c r="U16" s="1"/>
      <c r="V16" s="1"/>
      <c r="W16" s="1"/>
      <c r="X16" s="1"/>
    </row>
    <row r="17" spans="1:24" x14ac:dyDescent="0.2">
      <c r="A17" s="7">
        <v>39350</v>
      </c>
      <c r="B17" s="8">
        <v>5</v>
      </c>
      <c r="C17" s="8" t="s">
        <v>29</v>
      </c>
      <c r="D17" s="8">
        <v>3</v>
      </c>
      <c r="E17" s="8" t="s">
        <v>11</v>
      </c>
      <c r="F17" s="8">
        <v>2</v>
      </c>
      <c r="G17" s="8">
        <v>0</v>
      </c>
      <c r="H17" s="9">
        <f t="shared" si="0"/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/>
      <c r="Q17" s="1"/>
      <c r="R17" s="1"/>
      <c r="S17" s="1"/>
      <c r="T17" s="1"/>
      <c r="U17" s="1"/>
      <c r="V17" s="1"/>
      <c r="W17" s="1"/>
      <c r="X17" s="1"/>
    </row>
    <row r="18" spans="1:24" x14ac:dyDescent="0.2">
      <c r="A18" s="7">
        <v>39323</v>
      </c>
      <c r="B18" s="8">
        <v>1</v>
      </c>
      <c r="C18" s="8" t="s">
        <v>30</v>
      </c>
      <c r="D18" s="8">
        <v>4</v>
      </c>
      <c r="E18" s="8" t="s">
        <v>12</v>
      </c>
      <c r="F18" s="8">
        <v>5</v>
      </c>
      <c r="G18" s="8">
        <v>0</v>
      </c>
      <c r="H18" s="9">
        <f t="shared" si="0"/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/>
      <c r="Q18" s="1"/>
      <c r="R18" s="1"/>
      <c r="S18" s="1"/>
      <c r="T18" s="1"/>
      <c r="U18" s="1"/>
      <c r="V18" s="1"/>
      <c r="W18" s="1"/>
      <c r="X18" s="1"/>
    </row>
    <row r="19" spans="1:24" x14ac:dyDescent="0.2">
      <c r="A19" s="7">
        <v>39330</v>
      </c>
      <c r="B19" s="8">
        <v>2</v>
      </c>
      <c r="C19" s="8" t="s">
        <v>30</v>
      </c>
      <c r="D19" s="8">
        <v>4</v>
      </c>
      <c r="E19" s="8" t="s">
        <v>12</v>
      </c>
      <c r="F19" s="8">
        <v>5</v>
      </c>
      <c r="G19" s="8">
        <v>3</v>
      </c>
      <c r="H19" s="9">
        <f t="shared" si="0"/>
        <v>0.6</v>
      </c>
      <c r="I19" s="8">
        <v>4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/>
      <c r="Q19" s="1"/>
      <c r="R19" s="1"/>
      <c r="S19" s="1"/>
      <c r="T19" s="1"/>
      <c r="U19" s="1"/>
      <c r="V19" s="1"/>
      <c r="W19" s="1"/>
      <c r="X19" s="1"/>
    </row>
    <row r="20" spans="1:24" x14ac:dyDescent="0.2">
      <c r="A20" s="7">
        <v>39337</v>
      </c>
      <c r="B20" s="8">
        <v>3</v>
      </c>
      <c r="C20" s="8" t="s">
        <v>30</v>
      </c>
      <c r="D20" s="8">
        <v>4</v>
      </c>
      <c r="E20" s="8" t="s">
        <v>12</v>
      </c>
      <c r="F20" s="8">
        <v>5</v>
      </c>
      <c r="G20" s="8">
        <v>5</v>
      </c>
      <c r="H20" s="9">
        <f t="shared" si="0"/>
        <v>1</v>
      </c>
      <c r="I20" s="8">
        <v>7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/>
      <c r="Q20" s="1"/>
      <c r="R20" s="1"/>
      <c r="S20" s="1"/>
      <c r="T20" s="1"/>
      <c r="U20" s="1"/>
      <c r="V20" s="1"/>
      <c r="W20" s="1"/>
      <c r="X20" s="1"/>
    </row>
    <row r="21" spans="1:24" x14ac:dyDescent="0.2">
      <c r="A21" s="7">
        <v>39344</v>
      </c>
      <c r="B21" s="8">
        <v>4</v>
      </c>
      <c r="C21" s="8" t="s">
        <v>30</v>
      </c>
      <c r="D21" s="8">
        <v>4</v>
      </c>
      <c r="E21" s="8" t="s">
        <v>12</v>
      </c>
      <c r="F21" s="8">
        <v>5</v>
      </c>
      <c r="G21" s="8">
        <v>0</v>
      </c>
      <c r="H21" s="9">
        <f t="shared" si="0"/>
        <v>0</v>
      </c>
      <c r="I21" s="8">
        <v>4</v>
      </c>
      <c r="J21" s="8">
        <v>0</v>
      </c>
      <c r="K21" s="8">
        <v>1</v>
      </c>
      <c r="L21" s="8">
        <v>0</v>
      </c>
      <c r="M21" s="8">
        <v>0</v>
      </c>
      <c r="N21" s="8">
        <v>1</v>
      </c>
      <c r="O21" s="8">
        <v>0</v>
      </c>
      <c r="P21" s="8"/>
      <c r="Q21" s="1"/>
      <c r="R21" s="1"/>
      <c r="S21" s="1"/>
      <c r="T21" s="1"/>
      <c r="U21" s="1"/>
      <c r="V21" s="1"/>
      <c r="W21" s="1"/>
      <c r="X21" s="1"/>
    </row>
    <row r="22" spans="1:24" x14ac:dyDescent="0.2">
      <c r="A22" s="7">
        <v>39350</v>
      </c>
      <c r="B22" s="8">
        <v>5</v>
      </c>
      <c r="C22" s="8" t="s">
        <v>30</v>
      </c>
      <c r="D22" s="8">
        <v>4</v>
      </c>
      <c r="E22" s="8" t="s">
        <v>12</v>
      </c>
      <c r="F22" s="8">
        <v>5</v>
      </c>
      <c r="G22" s="8">
        <v>1</v>
      </c>
      <c r="H22" s="9">
        <f t="shared" si="0"/>
        <v>0.2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/>
      <c r="Q22" s="1"/>
      <c r="R22" s="1"/>
      <c r="S22" s="1"/>
      <c r="T22" s="1"/>
      <c r="U22" s="1"/>
      <c r="V22" s="1"/>
      <c r="W22" s="1"/>
      <c r="X22" s="1"/>
    </row>
    <row r="23" spans="1:24" x14ac:dyDescent="0.2">
      <c r="A23" s="7">
        <v>39323</v>
      </c>
      <c r="B23" s="8">
        <v>1</v>
      </c>
      <c r="C23" s="8" t="s">
        <v>31</v>
      </c>
      <c r="D23" s="8">
        <v>5</v>
      </c>
      <c r="E23" s="8" t="s">
        <v>13</v>
      </c>
      <c r="F23" s="8">
        <v>2</v>
      </c>
      <c r="G23" s="8">
        <v>0</v>
      </c>
      <c r="H23" s="9">
        <f t="shared" si="0"/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/>
      <c r="Q23" s="1"/>
      <c r="R23" s="1"/>
      <c r="S23" s="1"/>
      <c r="T23" s="1"/>
      <c r="U23" s="1"/>
      <c r="V23" s="1"/>
      <c r="W23" s="1"/>
      <c r="X23" s="1"/>
    </row>
    <row r="24" spans="1:24" x14ac:dyDescent="0.2">
      <c r="A24" s="7">
        <v>39330</v>
      </c>
      <c r="B24" s="8">
        <v>2</v>
      </c>
      <c r="C24" s="8" t="s">
        <v>31</v>
      </c>
      <c r="D24" s="8">
        <v>5</v>
      </c>
      <c r="E24" s="8" t="s">
        <v>13</v>
      </c>
      <c r="F24" s="8">
        <v>2</v>
      </c>
      <c r="G24" s="8">
        <v>0</v>
      </c>
      <c r="H24" s="9">
        <f t="shared" si="0"/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/>
      <c r="Q24" s="1"/>
      <c r="R24" s="1"/>
      <c r="S24" s="1"/>
      <c r="T24" s="1"/>
      <c r="U24" s="1"/>
      <c r="V24" s="1"/>
      <c r="W24" s="1"/>
      <c r="X24" s="1"/>
    </row>
    <row r="25" spans="1:24" x14ac:dyDescent="0.2">
      <c r="A25" s="7">
        <v>39337</v>
      </c>
      <c r="B25" s="8">
        <v>3</v>
      </c>
      <c r="C25" s="8" t="s">
        <v>31</v>
      </c>
      <c r="D25" s="8">
        <v>5</v>
      </c>
      <c r="E25" s="8" t="s">
        <v>13</v>
      </c>
      <c r="F25" s="8">
        <v>2</v>
      </c>
      <c r="G25" s="8">
        <v>1</v>
      </c>
      <c r="H25" s="9">
        <f t="shared" si="0"/>
        <v>0.5</v>
      </c>
      <c r="I25" s="8">
        <v>0</v>
      </c>
      <c r="J25" s="8">
        <v>0</v>
      </c>
      <c r="K25" s="8">
        <v>1</v>
      </c>
      <c r="L25" s="8">
        <v>0</v>
      </c>
      <c r="M25" s="8">
        <v>0</v>
      </c>
      <c r="N25" s="8">
        <v>0</v>
      </c>
      <c r="O25" s="8">
        <v>1</v>
      </c>
      <c r="P25" s="8"/>
      <c r="Q25" s="1"/>
      <c r="R25" s="1"/>
      <c r="S25" s="1"/>
      <c r="T25" s="1"/>
      <c r="U25" s="1"/>
      <c r="V25" s="1"/>
      <c r="W25" s="1"/>
      <c r="X25" s="1"/>
    </row>
    <row r="26" spans="1:24" x14ac:dyDescent="0.2">
      <c r="A26" s="7">
        <v>39345</v>
      </c>
      <c r="B26" s="8">
        <v>4</v>
      </c>
      <c r="C26" s="8" t="s">
        <v>31</v>
      </c>
      <c r="D26" s="8">
        <v>5</v>
      </c>
      <c r="E26" s="8" t="s">
        <v>13</v>
      </c>
      <c r="F26" s="8">
        <v>2</v>
      </c>
      <c r="G26" s="8">
        <v>2</v>
      </c>
      <c r="H26" s="9">
        <f t="shared" si="0"/>
        <v>1</v>
      </c>
      <c r="I26" s="8">
        <v>2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/>
      <c r="Q26" s="1"/>
      <c r="R26" s="1"/>
      <c r="S26" s="1"/>
      <c r="T26" s="1"/>
      <c r="U26" s="1"/>
      <c r="V26" s="1"/>
      <c r="W26" s="1"/>
      <c r="X26" s="1"/>
    </row>
    <row r="27" spans="1:24" x14ac:dyDescent="0.2">
      <c r="A27" s="7">
        <v>39351</v>
      </c>
      <c r="B27" s="8">
        <v>5</v>
      </c>
      <c r="C27" s="8" t="s">
        <v>31</v>
      </c>
      <c r="D27" s="8">
        <v>5</v>
      </c>
      <c r="E27" s="8" t="s">
        <v>13</v>
      </c>
      <c r="F27" s="8">
        <v>2</v>
      </c>
      <c r="G27" s="8">
        <v>0</v>
      </c>
      <c r="H27" s="9">
        <f t="shared" si="0"/>
        <v>0</v>
      </c>
      <c r="I27" s="8">
        <v>0</v>
      </c>
      <c r="J27" s="8">
        <v>1</v>
      </c>
      <c r="K27" s="8">
        <v>1</v>
      </c>
      <c r="L27" s="8">
        <v>0</v>
      </c>
      <c r="M27" s="8">
        <v>1</v>
      </c>
      <c r="N27" s="8">
        <v>0</v>
      </c>
      <c r="O27" s="8">
        <v>1</v>
      </c>
      <c r="P27" s="8"/>
      <c r="Q27" s="1"/>
      <c r="R27" s="1"/>
      <c r="S27" s="1"/>
      <c r="T27" s="1"/>
      <c r="U27" s="1"/>
      <c r="V27" s="1"/>
      <c r="W27" s="1"/>
      <c r="X27" s="1"/>
    </row>
    <row r="28" spans="1:24" x14ac:dyDescent="0.2">
      <c r="A28" s="7">
        <v>39323</v>
      </c>
      <c r="B28" s="8">
        <v>1</v>
      </c>
      <c r="C28" s="8" t="s">
        <v>32</v>
      </c>
      <c r="D28" s="8">
        <v>6</v>
      </c>
      <c r="E28" s="8" t="s">
        <v>14</v>
      </c>
      <c r="F28" s="8">
        <v>4</v>
      </c>
      <c r="G28" s="8">
        <v>0</v>
      </c>
      <c r="H28" s="9">
        <f t="shared" si="0"/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/>
      <c r="Q28" s="1"/>
      <c r="R28" s="1"/>
      <c r="S28" s="1"/>
      <c r="T28" s="1"/>
      <c r="U28" s="1"/>
      <c r="V28" s="1"/>
      <c r="W28" s="1"/>
      <c r="X28" s="1"/>
    </row>
    <row r="29" spans="1:24" x14ac:dyDescent="0.2">
      <c r="A29" s="7">
        <v>39330</v>
      </c>
      <c r="B29" s="8">
        <v>2</v>
      </c>
      <c r="C29" s="8" t="s">
        <v>32</v>
      </c>
      <c r="D29" s="8">
        <v>6</v>
      </c>
      <c r="E29" s="8" t="s">
        <v>14</v>
      </c>
      <c r="F29" s="8">
        <v>4</v>
      </c>
      <c r="G29" s="8">
        <v>2</v>
      </c>
      <c r="H29" s="9">
        <f t="shared" si="0"/>
        <v>0.5</v>
      </c>
      <c r="I29" s="8">
        <v>5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/>
      <c r="Q29" s="1"/>
      <c r="R29" s="1"/>
      <c r="S29" s="1"/>
      <c r="T29" s="1"/>
      <c r="U29" s="1"/>
      <c r="V29" s="1"/>
      <c r="W29" s="1"/>
      <c r="X29" s="1"/>
    </row>
    <row r="30" spans="1:24" x14ac:dyDescent="0.2">
      <c r="A30" s="7">
        <v>39337</v>
      </c>
      <c r="B30" s="8">
        <v>3</v>
      </c>
      <c r="C30" s="8" t="s">
        <v>32</v>
      </c>
      <c r="D30" s="8">
        <v>6</v>
      </c>
      <c r="E30" s="8" t="s">
        <v>14</v>
      </c>
      <c r="F30" s="8">
        <v>4</v>
      </c>
      <c r="G30" s="8">
        <v>9</v>
      </c>
      <c r="H30" s="9">
        <f t="shared" si="0"/>
        <v>2.25</v>
      </c>
      <c r="I30" s="8">
        <v>8</v>
      </c>
      <c r="J30" s="8">
        <v>0</v>
      </c>
      <c r="K30" s="8">
        <v>1</v>
      </c>
      <c r="L30" s="8">
        <v>0</v>
      </c>
      <c r="M30" s="8">
        <v>0</v>
      </c>
      <c r="N30" s="8">
        <v>1</v>
      </c>
      <c r="O30" s="8">
        <v>0</v>
      </c>
      <c r="P30" s="8"/>
      <c r="Q30" s="1"/>
      <c r="R30" s="1"/>
      <c r="S30" s="1"/>
      <c r="T30" s="1"/>
      <c r="U30" s="1"/>
      <c r="V30" s="1"/>
      <c r="W30" s="1"/>
      <c r="X30" s="1"/>
    </row>
    <row r="31" spans="1:24" x14ac:dyDescent="0.2">
      <c r="A31" s="7">
        <v>39345</v>
      </c>
      <c r="B31" s="8">
        <v>4</v>
      </c>
      <c r="C31" s="8" t="s">
        <v>32</v>
      </c>
      <c r="D31" s="8">
        <v>6</v>
      </c>
      <c r="E31" s="8" t="s">
        <v>14</v>
      </c>
      <c r="F31" s="8">
        <v>4</v>
      </c>
      <c r="G31" s="8">
        <v>4</v>
      </c>
      <c r="H31" s="9">
        <f t="shared" si="0"/>
        <v>1</v>
      </c>
      <c r="I31" s="8">
        <v>2</v>
      </c>
      <c r="J31" s="8">
        <v>1</v>
      </c>
      <c r="K31" s="8">
        <v>2</v>
      </c>
      <c r="L31" s="8">
        <v>1</v>
      </c>
      <c r="M31" s="8">
        <v>0</v>
      </c>
      <c r="N31" s="8">
        <v>2</v>
      </c>
      <c r="O31" s="8">
        <v>0</v>
      </c>
      <c r="P31" s="8"/>
      <c r="Q31" s="1"/>
      <c r="R31" s="1"/>
      <c r="S31" s="1"/>
      <c r="T31" s="1"/>
      <c r="U31" s="1"/>
      <c r="V31" s="1"/>
      <c r="W31" s="1"/>
      <c r="X31" s="1"/>
    </row>
    <row r="32" spans="1:24" x14ac:dyDescent="0.2">
      <c r="A32" s="7">
        <v>39351</v>
      </c>
      <c r="B32" s="8">
        <v>5</v>
      </c>
      <c r="C32" s="8" t="s">
        <v>32</v>
      </c>
      <c r="D32" s="8">
        <v>6</v>
      </c>
      <c r="E32" s="8" t="s">
        <v>14</v>
      </c>
      <c r="F32" s="8">
        <v>4</v>
      </c>
      <c r="G32" s="8">
        <v>1</v>
      </c>
      <c r="H32" s="9">
        <f t="shared" si="0"/>
        <v>0.25</v>
      </c>
      <c r="I32" s="8">
        <v>0</v>
      </c>
      <c r="J32" s="8">
        <v>3</v>
      </c>
      <c r="K32" s="8">
        <v>0</v>
      </c>
      <c r="L32" s="8">
        <v>0</v>
      </c>
      <c r="M32" s="8">
        <v>3</v>
      </c>
      <c r="N32" s="8">
        <v>0</v>
      </c>
      <c r="O32" s="8">
        <v>0</v>
      </c>
      <c r="P32" s="8"/>
      <c r="Q32" s="1"/>
      <c r="R32" s="1"/>
      <c r="S32" s="1"/>
      <c r="T32" s="1"/>
      <c r="U32" s="1"/>
      <c r="V32" s="1"/>
      <c r="W32" s="1"/>
      <c r="X32" s="1"/>
    </row>
    <row r="33" spans="1:24" x14ac:dyDescent="0.2">
      <c r="A33" s="7">
        <v>39323</v>
      </c>
      <c r="B33" s="8">
        <v>1</v>
      </c>
      <c r="C33" s="8" t="s">
        <v>33</v>
      </c>
      <c r="D33" s="8">
        <v>7</v>
      </c>
      <c r="E33" s="8" t="s">
        <v>15</v>
      </c>
      <c r="F33" s="8">
        <v>3</v>
      </c>
      <c r="G33" s="8">
        <v>0</v>
      </c>
      <c r="H33" s="9">
        <f t="shared" si="0"/>
        <v>0</v>
      </c>
      <c r="I33" s="8">
        <v>1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/>
      <c r="Q33" s="1"/>
      <c r="R33" s="1"/>
      <c r="S33" s="1"/>
      <c r="T33" s="1"/>
      <c r="U33" s="1"/>
      <c r="V33" s="1"/>
      <c r="W33" s="1"/>
      <c r="X33" s="1"/>
    </row>
    <row r="34" spans="1:24" x14ac:dyDescent="0.2">
      <c r="A34" s="7">
        <v>39330</v>
      </c>
      <c r="B34" s="8">
        <v>2</v>
      </c>
      <c r="C34" s="8" t="s">
        <v>33</v>
      </c>
      <c r="D34" s="8">
        <v>7</v>
      </c>
      <c r="E34" s="8" t="s">
        <v>15</v>
      </c>
      <c r="F34" s="8">
        <v>3</v>
      </c>
      <c r="G34" s="8">
        <v>1</v>
      </c>
      <c r="H34" s="9">
        <f t="shared" si="0"/>
        <v>0.33333333333333331</v>
      </c>
      <c r="I34" s="8">
        <v>1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/>
      <c r="Q34" s="1"/>
      <c r="R34" s="1"/>
      <c r="S34" s="1"/>
      <c r="T34" s="1"/>
      <c r="U34" s="1"/>
      <c r="V34" s="1"/>
      <c r="W34" s="1"/>
      <c r="X34" s="1"/>
    </row>
    <row r="35" spans="1:24" x14ac:dyDescent="0.2">
      <c r="A35" s="7">
        <v>39337</v>
      </c>
      <c r="B35" s="8">
        <v>3</v>
      </c>
      <c r="C35" s="8" t="s">
        <v>33</v>
      </c>
      <c r="D35" s="8">
        <v>7</v>
      </c>
      <c r="E35" s="8" t="s">
        <v>15</v>
      </c>
      <c r="F35" s="8">
        <v>3</v>
      </c>
      <c r="G35" s="8">
        <v>0</v>
      </c>
      <c r="H35" s="9">
        <f t="shared" si="0"/>
        <v>0</v>
      </c>
      <c r="I35" s="8">
        <v>0</v>
      </c>
      <c r="J35" s="8">
        <v>0</v>
      </c>
      <c r="K35" s="8">
        <v>1</v>
      </c>
      <c r="L35" s="8">
        <v>0</v>
      </c>
      <c r="M35" s="8">
        <v>0</v>
      </c>
      <c r="N35" s="8">
        <v>0</v>
      </c>
      <c r="O35" s="8">
        <v>1</v>
      </c>
      <c r="P35" s="8"/>
      <c r="Q35" s="1"/>
      <c r="R35" s="1"/>
      <c r="S35" s="1"/>
      <c r="T35" s="1"/>
      <c r="U35" s="1"/>
      <c r="V35" s="1"/>
      <c r="W35" s="1"/>
      <c r="X35" s="1"/>
    </row>
    <row r="36" spans="1:24" x14ac:dyDescent="0.2">
      <c r="A36" s="7">
        <v>39345</v>
      </c>
      <c r="B36" s="8">
        <v>4</v>
      </c>
      <c r="C36" s="8" t="s">
        <v>33</v>
      </c>
      <c r="D36" s="8">
        <v>7</v>
      </c>
      <c r="E36" s="8" t="s">
        <v>15</v>
      </c>
      <c r="F36" s="8">
        <v>3</v>
      </c>
      <c r="G36" s="8">
        <v>0</v>
      </c>
      <c r="H36" s="9">
        <f t="shared" ref="H36:H60" si="1">G36/F36</f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/>
      <c r="Q36" s="1"/>
      <c r="R36" s="1"/>
      <c r="S36" s="1"/>
      <c r="T36" s="1"/>
      <c r="U36" s="1"/>
      <c r="V36" s="1"/>
      <c r="W36" s="1"/>
      <c r="X36" s="1"/>
    </row>
    <row r="37" spans="1:24" x14ac:dyDescent="0.2">
      <c r="A37" s="7">
        <v>39351</v>
      </c>
      <c r="B37" s="8">
        <v>5</v>
      </c>
      <c r="C37" s="8" t="s">
        <v>33</v>
      </c>
      <c r="D37" s="8">
        <v>7</v>
      </c>
      <c r="E37" s="8" t="s">
        <v>15</v>
      </c>
      <c r="F37" s="8">
        <v>3</v>
      </c>
      <c r="G37" s="8">
        <v>0</v>
      </c>
      <c r="H37" s="9">
        <f t="shared" si="1"/>
        <v>0</v>
      </c>
      <c r="I37" s="8">
        <v>0</v>
      </c>
      <c r="J37" s="8">
        <v>1</v>
      </c>
      <c r="K37" s="8">
        <v>0</v>
      </c>
      <c r="L37" s="8">
        <v>1</v>
      </c>
      <c r="M37" s="8">
        <v>0</v>
      </c>
      <c r="N37" s="8">
        <v>0</v>
      </c>
      <c r="O37" s="8">
        <v>0</v>
      </c>
      <c r="P37" s="8"/>
      <c r="Q37" s="1"/>
      <c r="R37" s="1"/>
      <c r="S37" s="1"/>
      <c r="T37" s="1"/>
      <c r="U37" s="1"/>
      <c r="V37" s="1"/>
      <c r="W37" s="1"/>
      <c r="X37" s="1"/>
    </row>
    <row r="38" spans="1:24" x14ac:dyDescent="0.2">
      <c r="A38" s="7">
        <v>39323</v>
      </c>
      <c r="B38" s="8">
        <v>1</v>
      </c>
      <c r="C38" s="8" t="s">
        <v>34</v>
      </c>
      <c r="D38" s="8">
        <v>8</v>
      </c>
      <c r="E38" s="8" t="s">
        <v>16</v>
      </c>
      <c r="F38" s="8">
        <v>3</v>
      </c>
      <c r="G38" s="8">
        <v>2</v>
      </c>
      <c r="H38" s="9">
        <f t="shared" si="1"/>
        <v>0.66666666666666663</v>
      </c>
      <c r="I38" s="8">
        <v>4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/>
      <c r="Q38" s="1"/>
      <c r="R38" s="1"/>
      <c r="S38" s="1"/>
      <c r="T38" s="1"/>
      <c r="U38" s="1"/>
      <c r="V38" s="1"/>
      <c r="W38" s="1"/>
      <c r="X38" s="1"/>
    </row>
    <row r="39" spans="1:24" x14ac:dyDescent="0.2">
      <c r="A39" s="7">
        <v>39330</v>
      </c>
      <c r="B39" s="8">
        <v>2</v>
      </c>
      <c r="C39" s="8" t="s">
        <v>34</v>
      </c>
      <c r="D39" s="8">
        <v>8</v>
      </c>
      <c r="E39" s="8" t="s">
        <v>16</v>
      </c>
      <c r="F39" s="8">
        <v>3</v>
      </c>
      <c r="G39" s="8">
        <v>5</v>
      </c>
      <c r="H39" s="9">
        <f t="shared" si="1"/>
        <v>1.6666666666666667</v>
      </c>
      <c r="I39" s="8">
        <v>10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/>
      <c r="Q39" s="1"/>
      <c r="R39" s="1"/>
      <c r="S39" s="1"/>
      <c r="T39" s="1"/>
      <c r="U39" s="1"/>
      <c r="V39" s="1"/>
      <c r="W39" s="1"/>
      <c r="X39" s="1"/>
    </row>
    <row r="40" spans="1:24" x14ac:dyDescent="0.2">
      <c r="A40" s="7">
        <v>39337</v>
      </c>
      <c r="B40" s="8">
        <v>3</v>
      </c>
      <c r="C40" s="8" t="s">
        <v>34</v>
      </c>
      <c r="D40" s="8">
        <v>8</v>
      </c>
      <c r="E40" s="8" t="s">
        <v>16</v>
      </c>
      <c r="F40" s="8">
        <v>3</v>
      </c>
      <c r="G40" s="8">
        <v>12</v>
      </c>
      <c r="H40" s="9">
        <f t="shared" si="1"/>
        <v>4</v>
      </c>
      <c r="I40" s="8">
        <v>24</v>
      </c>
      <c r="J40" s="8">
        <v>1</v>
      </c>
      <c r="K40" s="8">
        <v>2</v>
      </c>
      <c r="L40" s="8">
        <v>1</v>
      </c>
      <c r="M40" s="8">
        <v>0</v>
      </c>
      <c r="N40" s="8">
        <v>0</v>
      </c>
      <c r="O40" s="8">
        <v>2</v>
      </c>
      <c r="P40" s="8"/>
      <c r="Q40" s="1"/>
      <c r="R40" s="1"/>
      <c r="S40" s="1"/>
      <c r="T40" s="1"/>
      <c r="U40" s="1"/>
      <c r="V40" s="1"/>
      <c r="W40" s="1"/>
      <c r="X40" s="1"/>
    </row>
    <row r="41" spans="1:24" x14ac:dyDescent="0.2">
      <c r="A41" s="7">
        <v>39345</v>
      </c>
      <c r="B41" s="8">
        <v>4</v>
      </c>
      <c r="C41" s="8" t="s">
        <v>34</v>
      </c>
      <c r="D41" s="8">
        <v>8</v>
      </c>
      <c r="E41" s="8" t="s">
        <v>16</v>
      </c>
      <c r="F41" s="8">
        <v>3</v>
      </c>
      <c r="G41" s="8">
        <v>13</v>
      </c>
      <c r="H41" s="9">
        <f t="shared" si="1"/>
        <v>4.333333333333333</v>
      </c>
      <c r="I41" s="8">
        <v>18</v>
      </c>
      <c r="J41" s="8">
        <v>2</v>
      </c>
      <c r="K41" s="8">
        <v>13</v>
      </c>
      <c r="L41" s="8">
        <v>0</v>
      </c>
      <c r="M41" s="8">
        <v>2</v>
      </c>
      <c r="N41" s="8">
        <v>6</v>
      </c>
      <c r="O41" s="8">
        <v>7</v>
      </c>
      <c r="P41" s="8"/>
      <c r="Q41" s="1"/>
      <c r="R41" s="1"/>
      <c r="S41" s="1"/>
      <c r="T41" s="1"/>
      <c r="U41" s="1"/>
      <c r="V41" s="1"/>
      <c r="W41" s="1"/>
      <c r="X41" s="1"/>
    </row>
    <row r="42" spans="1:24" x14ac:dyDescent="0.2">
      <c r="A42" s="7">
        <v>39351</v>
      </c>
      <c r="B42" s="8">
        <v>5</v>
      </c>
      <c r="C42" s="8" t="s">
        <v>34</v>
      </c>
      <c r="D42" s="8">
        <v>8</v>
      </c>
      <c r="E42" s="8" t="s">
        <v>16</v>
      </c>
      <c r="F42" s="8">
        <v>3</v>
      </c>
      <c r="G42" s="8">
        <v>1</v>
      </c>
      <c r="H42" s="9">
        <f t="shared" si="1"/>
        <v>0.33333333333333331</v>
      </c>
      <c r="I42" s="8">
        <v>1</v>
      </c>
      <c r="J42" s="8">
        <v>1</v>
      </c>
      <c r="K42" s="8">
        <v>13</v>
      </c>
      <c r="L42" s="8">
        <v>0</v>
      </c>
      <c r="M42" s="8">
        <v>1</v>
      </c>
      <c r="N42" s="8">
        <v>5</v>
      </c>
      <c r="O42" s="8">
        <v>8</v>
      </c>
      <c r="P42" s="8"/>
      <c r="Q42" s="1"/>
      <c r="R42" s="1"/>
      <c r="S42" s="1"/>
      <c r="T42" s="1"/>
      <c r="U42" s="1"/>
      <c r="V42" s="1"/>
      <c r="W42" s="1"/>
      <c r="X42" s="1"/>
    </row>
    <row r="43" spans="1:24" x14ac:dyDescent="0.2">
      <c r="A43" s="7">
        <v>39323</v>
      </c>
      <c r="B43" s="8">
        <v>1</v>
      </c>
      <c r="C43" s="8" t="s">
        <v>35</v>
      </c>
      <c r="D43" s="8">
        <v>9</v>
      </c>
      <c r="E43" s="8" t="s">
        <v>17</v>
      </c>
      <c r="F43" s="8">
        <v>4</v>
      </c>
      <c r="G43" s="8">
        <v>1</v>
      </c>
      <c r="H43" s="9">
        <f t="shared" si="1"/>
        <v>0.25</v>
      </c>
      <c r="I43" s="8">
        <v>1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/>
      <c r="Q43" s="1"/>
      <c r="R43" s="1"/>
      <c r="S43" s="1"/>
      <c r="T43" s="1"/>
      <c r="U43" s="1"/>
      <c r="V43" s="1"/>
      <c r="W43" s="1"/>
      <c r="X43" s="1"/>
    </row>
    <row r="44" spans="1:24" x14ac:dyDescent="0.2">
      <c r="A44" s="7">
        <v>39330</v>
      </c>
      <c r="B44" s="8">
        <v>2</v>
      </c>
      <c r="C44" s="8" t="s">
        <v>35</v>
      </c>
      <c r="D44" s="8">
        <v>9</v>
      </c>
      <c r="E44" s="8" t="s">
        <v>17</v>
      </c>
      <c r="F44" s="8">
        <v>4</v>
      </c>
      <c r="G44" s="8">
        <v>2</v>
      </c>
      <c r="H44" s="9">
        <f t="shared" si="1"/>
        <v>0.5</v>
      </c>
      <c r="I44" s="8">
        <v>6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/>
      <c r="Q44" s="1"/>
      <c r="R44" s="1"/>
      <c r="S44" s="1"/>
      <c r="T44" s="1"/>
      <c r="U44" s="1"/>
      <c r="V44" s="1"/>
      <c r="W44" s="1"/>
      <c r="X44" s="1"/>
    </row>
    <row r="45" spans="1:24" x14ac:dyDescent="0.2">
      <c r="A45" s="7">
        <v>39337</v>
      </c>
      <c r="B45" s="8">
        <v>3</v>
      </c>
      <c r="C45" s="8" t="s">
        <v>35</v>
      </c>
      <c r="D45" s="8">
        <v>9</v>
      </c>
      <c r="E45" s="8" t="s">
        <v>17</v>
      </c>
      <c r="F45" s="8">
        <v>4</v>
      </c>
      <c r="G45" s="8">
        <v>1</v>
      </c>
      <c r="H45" s="9">
        <f t="shared" si="1"/>
        <v>0.25</v>
      </c>
      <c r="I45" s="8">
        <v>7</v>
      </c>
      <c r="J45" s="8">
        <v>1</v>
      </c>
      <c r="K45" s="8">
        <v>1</v>
      </c>
      <c r="L45" s="8">
        <v>0</v>
      </c>
      <c r="M45" s="8">
        <v>1</v>
      </c>
      <c r="N45" s="8">
        <v>0</v>
      </c>
      <c r="O45" s="8">
        <v>1</v>
      </c>
      <c r="P45" s="8"/>
      <c r="Q45" s="1"/>
      <c r="R45" s="1"/>
      <c r="S45" s="1"/>
      <c r="T45" s="1"/>
      <c r="U45" s="1"/>
      <c r="V45" s="1"/>
      <c r="W45" s="1"/>
      <c r="X45" s="1"/>
    </row>
    <row r="46" spans="1:24" x14ac:dyDescent="0.2">
      <c r="A46" s="7">
        <v>39345</v>
      </c>
      <c r="B46" s="8">
        <v>4</v>
      </c>
      <c r="C46" s="8" t="s">
        <v>35</v>
      </c>
      <c r="D46" s="8">
        <v>9</v>
      </c>
      <c r="E46" s="8" t="s">
        <v>17</v>
      </c>
      <c r="F46" s="8">
        <v>4</v>
      </c>
      <c r="G46" s="8">
        <v>5</v>
      </c>
      <c r="H46" s="9">
        <f t="shared" si="1"/>
        <v>1.25</v>
      </c>
      <c r="I46" s="8">
        <v>6</v>
      </c>
      <c r="J46" s="8">
        <v>1</v>
      </c>
      <c r="K46" s="8">
        <v>3</v>
      </c>
      <c r="L46" s="8">
        <v>1</v>
      </c>
      <c r="M46" s="8">
        <v>0</v>
      </c>
      <c r="N46" s="8">
        <v>2</v>
      </c>
      <c r="O46" s="8">
        <v>1</v>
      </c>
      <c r="P46" s="8"/>
      <c r="Q46" s="1"/>
      <c r="R46" s="1"/>
      <c r="S46" s="1"/>
      <c r="T46" s="1"/>
      <c r="U46" s="1"/>
      <c r="V46" s="1"/>
      <c r="W46" s="1"/>
      <c r="X46" s="1"/>
    </row>
    <row r="47" spans="1:24" x14ac:dyDescent="0.2">
      <c r="A47" s="7">
        <v>39351</v>
      </c>
      <c r="B47" s="8">
        <v>5</v>
      </c>
      <c r="C47" s="8" t="s">
        <v>35</v>
      </c>
      <c r="D47" s="8">
        <v>9</v>
      </c>
      <c r="E47" s="8" t="s">
        <v>17</v>
      </c>
      <c r="F47" s="8">
        <v>4</v>
      </c>
      <c r="G47" s="8">
        <v>0</v>
      </c>
      <c r="H47" s="9">
        <f t="shared" si="1"/>
        <v>0</v>
      </c>
      <c r="I47" s="8">
        <v>1</v>
      </c>
      <c r="J47" s="8">
        <v>0</v>
      </c>
      <c r="K47" s="8">
        <v>3</v>
      </c>
      <c r="L47" s="8">
        <v>0</v>
      </c>
      <c r="M47" s="8">
        <v>0</v>
      </c>
      <c r="N47" s="8">
        <v>2</v>
      </c>
      <c r="O47" s="8">
        <v>1</v>
      </c>
      <c r="P47" s="8"/>
      <c r="Q47" s="1"/>
      <c r="R47" s="1"/>
      <c r="S47" s="1"/>
      <c r="T47" s="1"/>
      <c r="U47" s="1"/>
      <c r="V47" s="1"/>
      <c r="W47" s="1"/>
      <c r="X47" s="1"/>
    </row>
    <row r="48" spans="1:24" x14ac:dyDescent="0.2">
      <c r="A48" s="7">
        <v>39332</v>
      </c>
      <c r="B48" s="8">
        <v>1</v>
      </c>
      <c r="C48" s="8" t="s">
        <v>36</v>
      </c>
      <c r="D48" s="8">
        <v>10</v>
      </c>
      <c r="E48" s="8" t="s">
        <v>18</v>
      </c>
      <c r="F48" s="8">
        <v>5</v>
      </c>
      <c r="G48" s="8">
        <v>0</v>
      </c>
      <c r="H48" s="9">
        <f t="shared" si="1"/>
        <v>0</v>
      </c>
      <c r="I48" s="8">
        <v>3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/>
      <c r="Q48" s="1"/>
      <c r="R48" s="1"/>
      <c r="S48" s="1"/>
      <c r="T48" s="1"/>
      <c r="U48" s="1"/>
      <c r="V48" s="1"/>
      <c r="W48" s="1"/>
      <c r="X48" s="1"/>
    </row>
    <row r="49" spans="1:24" x14ac:dyDescent="0.2">
      <c r="A49" s="7">
        <v>39338</v>
      </c>
      <c r="B49" s="8">
        <v>2</v>
      </c>
      <c r="C49" s="8" t="s">
        <v>36</v>
      </c>
      <c r="D49" s="8">
        <v>10</v>
      </c>
      <c r="E49" s="8" t="s">
        <v>18</v>
      </c>
      <c r="F49" s="8">
        <v>5</v>
      </c>
      <c r="G49" s="8">
        <v>2</v>
      </c>
      <c r="H49" s="9">
        <f t="shared" si="1"/>
        <v>0.4</v>
      </c>
      <c r="I49" s="8">
        <v>4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/>
      <c r="Q49" s="1"/>
      <c r="R49" s="1"/>
      <c r="S49" s="1"/>
      <c r="T49" s="1"/>
      <c r="U49" s="1"/>
      <c r="V49" s="1"/>
      <c r="W49" s="1"/>
      <c r="X49" s="1"/>
    </row>
    <row r="50" spans="1:24" x14ac:dyDescent="0.2">
      <c r="A50" s="7">
        <v>39346</v>
      </c>
      <c r="B50" s="8">
        <v>3</v>
      </c>
      <c r="C50" s="8" t="s">
        <v>36</v>
      </c>
      <c r="D50" s="8">
        <v>10</v>
      </c>
      <c r="E50" s="8" t="s">
        <v>18</v>
      </c>
      <c r="F50" s="8">
        <v>5</v>
      </c>
      <c r="G50" s="8">
        <v>1</v>
      </c>
      <c r="H50" s="9">
        <f t="shared" si="1"/>
        <v>0.2</v>
      </c>
      <c r="I50" s="8">
        <v>0</v>
      </c>
      <c r="J50" s="8">
        <v>1</v>
      </c>
      <c r="K50" s="8">
        <v>1</v>
      </c>
      <c r="L50" s="8">
        <v>0</v>
      </c>
      <c r="M50" s="8">
        <v>1</v>
      </c>
      <c r="N50" s="8">
        <v>0</v>
      </c>
      <c r="O50" s="8">
        <v>1</v>
      </c>
      <c r="P50" s="8"/>
      <c r="Q50" s="1"/>
      <c r="R50" s="1"/>
      <c r="S50" s="1"/>
      <c r="T50" s="1"/>
      <c r="U50" s="1"/>
      <c r="V50" s="1"/>
      <c r="W50" s="1"/>
      <c r="X50" s="1"/>
    </row>
    <row r="51" spans="1:24" x14ac:dyDescent="0.2">
      <c r="A51" s="7">
        <v>39352</v>
      </c>
      <c r="B51" s="8">
        <v>4</v>
      </c>
      <c r="C51" s="8" t="s">
        <v>36</v>
      </c>
      <c r="D51" s="8">
        <v>10</v>
      </c>
      <c r="E51" s="8" t="s">
        <v>18</v>
      </c>
      <c r="F51" s="8">
        <v>5</v>
      </c>
      <c r="G51" s="8">
        <v>0</v>
      </c>
      <c r="H51" s="9">
        <f t="shared" si="1"/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/>
      <c r="Q51" s="1"/>
      <c r="R51" s="1"/>
      <c r="S51" s="1"/>
      <c r="T51" s="1"/>
      <c r="U51" s="1"/>
      <c r="V51" s="1"/>
      <c r="W51" s="1"/>
      <c r="X51" s="1"/>
    </row>
    <row r="52" spans="1:24" x14ac:dyDescent="0.2">
      <c r="A52" s="7">
        <v>39332</v>
      </c>
      <c r="B52" s="8">
        <v>1</v>
      </c>
      <c r="C52" s="8" t="s">
        <v>37</v>
      </c>
      <c r="D52" s="8">
        <v>11</v>
      </c>
      <c r="E52" s="8" t="s">
        <v>19</v>
      </c>
      <c r="F52" s="8">
        <v>4</v>
      </c>
      <c r="G52" s="8">
        <v>0</v>
      </c>
      <c r="H52" s="9">
        <f t="shared" si="1"/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/>
      <c r="Q52" s="1"/>
      <c r="R52" s="1"/>
      <c r="S52" s="1"/>
      <c r="T52" s="1"/>
      <c r="U52" s="1"/>
      <c r="V52" s="1"/>
      <c r="W52" s="1"/>
      <c r="X52" s="1"/>
    </row>
    <row r="53" spans="1:24" x14ac:dyDescent="0.2">
      <c r="A53" s="7">
        <v>39346</v>
      </c>
      <c r="B53" s="8">
        <v>2</v>
      </c>
      <c r="C53" s="8" t="s">
        <v>37</v>
      </c>
      <c r="D53" s="8">
        <v>11</v>
      </c>
      <c r="E53" s="8" t="s">
        <v>19</v>
      </c>
      <c r="F53" s="8">
        <v>4</v>
      </c>
      <c r="G53" s="8">
        <v>4</v>
      </c>
      <c r="H53" s="9">
        <f t="shared" si="1"/>
        <v>1</v>
      </c>
      <c r="I53" s="8">
        <v>0</v>
      </c>
      <c r="J53" s="8">
        <v>0</v>
      </c>
      <c r="K53" s="8">
        <v>1</v>
      </c>
      <c r="L53" s="8">
        <v>0</v>
      </c>
      <c r="M53" s="8">
        <v>0</v>
      </c>
      <c r="N53" s="8">
        <v>0</v>
      </c>
      <c r="O53" s="8">
        <v>1</v>
      </c>
      <c r="P53" s="8"/>
      <c r="Q53" s="1"/>
      <c r="R53" s="1"/>
      <c r="S53" s="1"/>
      <c r="T53" s="1"/>
      <c r="U53" s="1"/>
      <c r="V53" s="1"/>
      <c r="W53" s="1"/>
      <c r="X53" s="1"/>
    </row>
    <row r="54" spans="1:24" x14ac:dyDescent="0.2">
      <c r="A54" s="7">
        <v>39352</v>
      </c>
      <c r="B54" s="8">
        <v>3</v>
      </c>
      <c r="C54" s="8" t="s">
        <v>37</v>
      </c>
      <c r="D54" s="8">
        <v>11</v>
      </c>
      <c r="E54" s="8" t="s">
        <v>19</v>
      </c>
      <c r="F54" s="8">
        <v>4</v>
      </c>
      <c r="G54" s="8">
        <v>0</v>
      </c>
      <c r="H54" s="9">
        <f t="shared" si="1"/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/>
      <c r="Q54" s="1"/>
      <c r="R54" s="1"/>
      <c r="S54" s="1"/>
      <c r="T54" s="1"/>
      <c r="U54" s="1"/>
      <c r="V54" s="1"/>
      <c r="W54" s="1"/>
      <c r="X54" s="1"/>
    </row>
    <row r="55" spans="1:24" x14ac:dyDescent="0.2">
      <c r="A55" s="7">
        <v>39332</v>
      </c>
      <c r="B55" s="8">
        <v>1</v>
      </c>
      <c r="C55" s="8" t="s">
        <v>38</v>
      </c>
      <c r="D55" s="8">
        <v>12</v>
      </c>
      <c r="E55" s="8" t="s">
        <v>20</v>
      </c>
      <c r="F55" s="8">
        <v>3</v>
      </c>
      <c r="G55" s="8">
        <v>0</v>
      </c>
      <c r="H55" s="9">
        <f t="shared" si="1"/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/>
      <c r="Q55" s="1"/>
      <c r="R55" s="1"/>
      <c r="S55" s="1"/>
      <c r="T55" s="1"/>
      <c r="U55" s="1"/>
      <c r="V55" s="1"/>
      <c r="W55" s="1"/>
      <c r="X55" s="1"/>
    </row>
    <row r="56" spans="1:24" x14ac:dyDescent="0.2">
      <c r="A56" s="7">
        <v>39346</v>
      </c>
      <c r="B56" s="8">
        <v>2</v>
      </c>
      <c r="C56" s="8" t="s">
        <v>38</v>
      </c>
      <c r="D56" s="8">
        <v>12</v>
      </c>
      <c r="E56" s="8" t="s">
        <v>20</v>
      </c>
      <c r="F56" s="8">
        <v>3</v>
      </c>
      <c r="G56" s="8">
        <v>0</v>
      </c>
      <c r="H56" s="9">
        <f t="shared" si="1"/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/>
      <c r="Q56" s="1"/>
      <c r="R56" s="1"/>
      <c r="S56" s="1"/>
      <c r="T56" s="1"/>
      <c r="U56" s="1"/>
      <c r="V56" s="1"/>
      <c r="W56" s="1"/>
      <c r="X56" s="1"/>
    </row>
    <row r="57" spans="1:24" x14ac:dyDescent="0.2">
      <c r="A57" s="7">
        <v>39352</v>
      </c>
      <c r="B57" s="8">
        <v>3</v>
      </c>
      <c r="C57" s="8" t="s">
        <v>38</v>
      </c>
      <c r="D57" s="8">
        <v>12</v>
      </c>
      <c r="E57" s="8" t="s">
        <v>20</v>
      </c>
      <c r="F57" s="8">
        <v>3</v>
      </c>
      <c r="G57" s="8">
        <v>0</v>
      </c>
      <c r="H57" s="9">
        <f t="shared" si="1"/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/>
      <c r="Q57" s="1"/>
      <c r="R57" s="1"/>
      <c r="S57" s="1"/>
      <c r="T57" s="1"/>
      <c r="U57" s="1"/>
      <c r="V57" s="1"/>
      <c r="W57" s="1"/>
      <c r="X57" s="1"/>
    </row>
    <row r="58" spans="1:24" x14ac:dyDescent="0.2">
      <c r="A58" s="7">
        <v>39351</v>
      </c>
      <c r="B58" s="8">
        <v>1</v>
      </c>
      <c r="C58" s="8" t="s">
        <v>124</v>
      </c>
      <c r="D58" s="8">
        <v>13</v>
      </c>
      <c r="E58" s="8" t="s">
        <v>21</v>
      </c>
      <c r="F58" s="8">
        <v>3</v>
      </c>
      <c r="G58" s="8">
        <v>0</v>
      </c>
      <c r="H58" s="9">
        <f t="shared" si="1"/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/>
      <c r="Q58" s="1"/>
      <c r="R58" s="1"/>
      <c r="S58" s="1"/>
      <c r="T58" s="1"/>
      <c r="U58" s="1"/>
      <c r="V58" s="1"/>
      <c r="W58" s="1"/>
      <c r="X58" s="1"/>
    </row>
    <row r="59" spans="1:24" ht="13.5" thickBot="1" x14ac:dyDescent="0.25">
      <c r="A59" s="7">
        <v>39351</v>
      </c>
      <c r="B59" s="8">
        <v>1</v>
      </c>
      <c r="C59" s="8" t="s">
        <v>123</v>
      </c>
      <c r="D59" s="8">
        <v>14</v>
      </c>
      <c r="E59" s="8" t="s">
        <v>22</v>
      </c>
      <c r="F59" s="68">
        <v>3</v>
      </c>
      <c r="G59" s="68">
        <v>0</v>
      </c>
      <c r="H59" s="69">
        <f t="shared" si="1"/>
        <v>0</v>
      </c>
      <c r="I59" s="68">
        <v>0</v>
      </c>
      <c r="J59" s="68">
        <v>0</v>
      </c>
      <c r="K59" s="68">
        <v>0</v>
      </c>
      <c r="L59" s="68">
        <v>0</v>
      </c>
      <c r="M59" s="68">
        <v>0</v>
      </c>
      <c r="N59" s="68">
        <v>0</v>
      </c>
      <c r="O59" s="68">
        <v>0</v>
      </c>
      <c r="P59" s="8"/>
      <c r="Q59" s="1"/>
      <c r="R59" s="1"/>
      <c r="S59" s="1"/>
      <c r="T59" s="1"/>
      <c r="U59" s="1"/>
      <c r="V59" s="1"/>
      <c r="W59" s="1"/>
      <c r="X59" s="1"/>
    </row>
    <row r="60" spans="1:24" x14ac:dyDescent="0.2">
      <c r="A60" s="7"/>
      <c r="B60" s="8"/>
      <c r="C60" s="8"/>
      <c r="D60" s="8"/>
      <c r="E60" s="8"/>
      <c r="F60" s="2">
        <f>SUM(F4:F59)</f>
        <v>201</v>
      </c>
      <c r="G60" s="2">
        <f>SUM(G4:G59)</f>
        <v>81</v>
      </c>
      <c r="H60" s="64">
        <f t="shared" si="1"/>
        <v>0.40298507462686567</v>
      </c>
      <c r="I60" s="2">
        <f t="shared" ref="I60:O60" si="2">SUM(I4:I59)</f>
        <v>124</v>
      </c>
      <c r="J60" s="2">
        <f t="shared" si="2"/>
        <v>13</v>
      </c>
      <c r="K60" s="2">
        <f t="shared" si="2"/>
        <v>45</v>
      </c>
      <c r="L60" s="2">
        <f t="shared" si="2"/>
        <v>4</v>
      </c>
      <c r="M60" s="2">
        <f t="shared" si="2"/>
        <v>9</v>
      </c>
      <c r="N60" s="2">
        <f t="shared" si="2"/>
        <v>19</v>
      </c>
      <c r="O60" s="2">
        <f t="shared" si="2"/>
        <v>26</v>
      </c>
      <c r="P60" s="8"/>
      <c r="Q60" s="1"/>
      <c r="R60" s="1"/>
      <c r="S60" s="1"/>
      <c r="T60" s="1"/>
      <c r="U60" s="1"/>
      <c r="V60" s="1"/>
      <c r="W60" s="1"/>
      <c r="X60" s="1"/>
    </row>
    <row r="61" spans="1:24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1"/>
      <c r="R61" s="1"/>
      <c r="S61" s="1"/>
      <c r="T61" s="1"/>
      <c r="U61" s="1"/>
      <c r="V61" s="1"/>
      <c r="W61" s="1"/>
      <c r="X61" s="1"/>
    </row>
    <row r="62" spans="1:24" x14ac:dyDescent="0.2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1"/>
      <c r="R62" s="1"/>
      <c r="S62" s="1"/>
      <c r="T62" s="1"/>
      <c r="U62" s="1"/>
      <c r="V62" s="1"/>
      <c r="W62" s="1"/>
      <c r="X62" s="1"/>
    </row>
    <row r="63" spans="1:24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1"/>
      <c r="R63" s="1"/>
      <c r="S63" s="1"/>
      <c r="T63" s="1"/>
      <c r="U63" s="1"/>
      <c r="V63" s="1"/>
      <c r="W63" s="1"/>
      <c r="X63" s="1"/>
    </row>
    <row r="64" spans="1:24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1"/>
      <c r="R64" s="1"/>
      <c r="S64" s="1"/>
      <c r="T64" s="1"/>
      <c r="U64" s="1"/>
      <c r="V64" s="1"/>
      <c r="W64" s="1"/>
      <c r="X64" s="1"/>
    </row>
    <row r="65" spans="1:24" x14ac:dyDescent="0.2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"/>
      <c r="R65" s="1"/>
      <c r="S65" s="1"/>
      <c r="T65" s="1"/>
      <c r="U65" s="1"/>
      <c r="V65" s="1"/>
      <c r="W65" s="1"/>
      <c r="X65" s="1"/>
    </row>
    <row r="66" spans="1:24" x14ac:dyDescent="0.2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1"/>
      <c r="R66" s="1"/>
      <c r="S66" s="1"/>
      <c r="T66" s="1"/>
      <c r="U66" s="1"/>
      <c r="V66" s="1"/>
      <c r="W66" s="1"/>
      <c r="X66" s="1"/>
    </row>
    <row r="67" spans="1:24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1"/>
      <c r="R67" s="1"/>
      <c r="S67" s="1"/>
      <c r="T67" s="1"/>
      <c r="U67" s="1"/>
      <c r="V67" s="1"/>
      <c r="W67" s="1"/>
      <c r="X67" s="1"/>
    </row>
    <row r="68" spans="1:24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1"/>
      <c r="R68" s="1"/>
      <c r="S68" s="1"/>
      <c r="T68" s="1"/>
      <c r="U68" s="1"/>
      <c r="V68" s="1"/>
      <c r="W68" s="1"/>
      <c r="X68" s="1"/>
    </row>
    <row r="69" spans="1:24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1"/>
      <c r="R69" s="1"/>
      <c r="S69" s="1"/>
      <c r="T69" s="1"/>
      <c r="U69" s="1"/>
      <c r="V69" s="1"/>
      <c r="W69" s="1"/>
      <c r="X69" s="1"/>
    </row>
    <row r="70" spans="1:24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1"/>
      <c r="R70" s="1"/>
      <c r="S70" s="1"/>
      <c r="T70" s="1"/>
      <c r="U70" s="1"/>
      <c r="V70" s="1"/>
      <c r="W70" s="1"/>
      <c r="X70" s="1"/>
    </row>
    <row r="71" spans="1:24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1"/>
      <c r="R71" s="1"/>
      <c r="S71" s="1"/>
      <c r="T71" s="1"/>
      <c r="U71" s="1"/>
      <c r="V71" s="1"/>
      <c r="W71" s="1"/>
      <c r="X71" s="1"/>
    </row>
    <row r="72" spans="1:24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1"/>
      <c r="R72" s="1"/>
      <c r="S72" s="1"/>
      <c r="T72" s="1"/>
      <c r="U72" s="1"/>
      <c r="V72" s="1"/>
      <c r="W72" s="1"/>
      <c r="X72" s="1"/>
    </row>
    <row r="73" spans="1:24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1"/>
      <c r="R73" s="1"/>
      <c r="S73" s="1"/>
      <c r="T73" s="1"/>
      <c r="U73" s="1"/>
      <c r="V73" s="1"/>
      <c r="W73" s="1"/>
      <c r="X73" s="1"/>
    </row>
    <row r="74" spans="1:24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1"/>
      <c r="R74" s="1"/>
      <c r="S74" s="1"/>
      <c r="T74" s="1"/>
      <c r="U74" s="1"/>
      <c r="V74" s="1"/>
      <c r="W74" s="1"/>
      <c r="X74" s="1"/>
    </row>
    <row r="75" spans="1:24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1"/>
      <c r="R75" s="1"/>
      <c r="S75" s="1"/>
      <c r="T75" s="1"/>
      <c r="U75" s="1"/>
      <c r="V75" s="1"/>
      <c r="W75" s="1"/>
      <c r="X75" s="1"/>
    </row>
    <row r="76" spans="1:24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1"/>
      <c r="R76" s="1"/>
      <c r="S76" s="1"/>
      <c r="T76" s="1"/>
      <c r="U76" s="1"/>
      <c r="V76" s="1"/>
      <c r="W76" s="1"/>
      <c r="X76" s="1"/>
    </row>
    <row r="77" spans="1:24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1"/>
      <c r="R77" s="1"/>
      <c r="S77" s="1"/>
      <c r="T77" s="1"/>
      <c r="U77" s="1"/>
      <c r="V77" s="1"/>
      <c r="W77" s="1"/>
      <c r="X77" s="1"/>
    </row>
    <row r="78" spans="1:24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1"/>
      <c r="R78" s="1"/>
      <c r="S78" s="1"/>
      <c r="T78" s="1"/>
      <c r="U78" s="1"/>
      <c r="V78" s="1"/>
      <c r="W78" s="1"/>
      <c r="X78" s="1"/>
    </row>
    <row r="79" spans="1:24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1"/>
      <c r="R79" s="1"/>
      <c r="S79" s="1"/>
      <c r="T79" s="1"/>
      <c r="U79" s="1"/>
      <c r="V79" s="1"/>
      <c r="W79" s="1"/>
      <c r="X79" s="1"/>
    </row>
    <row r="80" spans="1:24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1"/>
      <c r="R80" s="1"/>
      <c r="S80" s="1"/>
      <c r="T80" s="1"/>
      <c r="U80" s="1"/>
      <c r="V80" s="1"/>
      <c r="W80" s="1"/>
      <c r="X80" s="1"/>
    </row>
    <row r="81" spans="1:24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1"/>
      <c r="R81" s="1"/>
      <c r="S81" s="1"/>
      <c r="T81" s="1"/>
      <c r="U81" s="1"/>
      <c r="V81" s="1"/>
      <c r="W81" s="1"/>
      <c r="X81" s="1"/>
    </row>
    <row r="82" spans="1:24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1"/>
      <c r="R82" s="1"/>
      <c r="S82" s="1"/>
      <c r="T82" s="1"/>
      <c r="U82" s="1"/>
      <c r="V82" s="1"/>
      <c r="W82" s="1"/>
      <c r="X82" s="1"/>
    </row>
    <row r="83" spans="1:24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1"/>
      <c r="R83" s="1"/>
      <c r="S83" s="1"/>
      <c r="T83" s="1"/>
      <c r="U83" s="1"/>
      <c r="V83" s="1"/>
      <c r="W83" s="1"/>
      <c r="X83" s="1"/>
    </row>
    <row r="84" spans="1:24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1"/>
      <c r="R84" s="1"/>
      <c r="S84" s="1"/>
      <c r="T84" s="1"/>
      <c r="U84" s="1"/>
      <c r="V84" s="1"/>
      <c r="W84" s="1"/>
      <c r="X84" s="1"/>
    </row>
    <row r="85" spans="1:24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1"/>
      <c r="R85" s="1"/>
      <c r="S85" s="1"/>
      <c r="T85" s="1"/>
      <c r="U85" s="1"/>
      <c r="V85" s="1"/>
      <c r="W85" s="1"/>
      <c r="X85" s="1"/>
    </row>
    <row r="86" spans="1:24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1"/>
      <c r="R86" s="1"/>
      <c r="S86" s="1"/>
      <c r="T86" s="1"/>
      <c r="U86" s="1"/>
      <c r="V86" s="1"/>
      <c r="W86" s="1"/>
      <c r="X86" s="1"/>
    </row>
    <row r="87" spans="1:24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1"/>
      <c r="R87" s="1"/>
      <c r="S87" s="1"/>
      <c r="T87" s="1"/>
      <c r="U87" s="1"/>
      <c r="V87" s="1"/>
      <c r="W87" s="1"/>
      <c r="X87" s="1"/>
    </row>
    <row r="88" spans="1:24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1"/>
      <c r="R88" s="1"/>
      <c r="S88" s="1"/>
      <c r="T88" s="1"/>
      <c r="U88" s="1"/>
      <c r="V88" s="1"/>
      <c r="W88" s="1"/>
      <c r="X88" s="1"/>
    </row>
    <row r="89" spans="1:24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1"/>
      <c r="R89" s="1"/>
      <c r="S89" s="1"/>
      <c r="T89" s="1"/>
      <c r="U89" s="1"/>
      <c r="V89" s="1"/>
      <c r="W89" s="1"/>
      <c r="X89" s="1"/>
    </row>
    <row r="90" spans="1:24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1"/>
      <c r="R90" s="1"/>
      <c r="S90" s="1"/>
      <c r="T90" s="1"/>
      <c r="U90" s="1"/>
      <c r="V90" s="1"/>
      <c r="W90" s="1"/>
      <c r="X90" s="1"/>
    </row>
    <row r="91" spans="1:24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1"/>
      <c r="R91" s="1"/>
      <c r="S91" s="1"/>
      <c r="T91" s="1"/>
      <c r="U91" s="1"/>
      <c r="V91" s="1"/>
      <c r="W91" s="1"/>
      <c r="X91" s="1"/>
    </row>
    <row r="92" spans="1:24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1"/>
      <c r="R92" s="1"/>
      <c r="S92" s="1"/>
      <c r="T92" s="1"/>
      <c r="U92" s="1"/>
      <c r="V92" s="1"/>
      <c r="W92" s="1"/>
      <c r="X92" s="1"/>
    </row>
    <row r="93" spans="1:24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1"/>
      <c r="R93" s="1"/>
      <c r="S93" s="1"/>
      <c r="T93" s="1"/>
      <c r="U93" s="1"/>
      <c r="V93" s="1"/>
      <c r="W93" s="1"/>
      <c r="X93" s="1"/>
    </row>
    <row r="94" spans="1:24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1"/>
      <c r="R94" s="1"/>
      <c r="S94" s="1"/>
      <c r="T94" s="1"/>
      <c r="U94" s="1"/>
      <c r="V94" s="1"/>
      <c r="W94" s="1"/>
      <c r="X94" s="1"/>
    </row>
    <row r="95" spans="1:24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1"/>
      <c r="R95" s="1"/>
      <c r="S95" s="1"/>
      <c r="T95" s="1"/>
      <c r="U95" s="1"/>
      <c r="V95" s="1"/>
      <c r="W95" s="1"/>
      <c r="X95" s="1"/>
    </row>
    <row r="96" spans="1:24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1"/>
      <c r="R96" s="1"/>
      <c r="S96" s="1"/>
      <c r="T96" s="1"/>
      <c r="U96" s="1"/>
      <c r="V96" s="1"/>
      <c r="W96" s="1"/>
      <c r="X96" s="1"/>
    </row>
    <row r="97" spans="1:24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1"/>
      <c r="R97" s="1"/>
      <c r="S97" s="1"/>
      <c r="T97" s="1"/>
      <c r="U97" s="1"/>
      <c r="V97" s="1"/>
      <c r="W97" s="1"/>
      <c r="X97" s="1"/>
    </row>
    <row r="98" spans="1:24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1"/>
      <c r="R98" s="1"/>
      <c r="S98" s="1"/>
      <c r="T98" s="1"/>
      <c r="U98" s="1"/>
      <c r="V98" s="1"/>
      <c r="W98" s="1"/>
      <c r="X98" s="1"/>
    </row>
    <row r="99" spans="1:24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1"/>
      <c r="R99" s="1"/>
      <c r="S99" s="1"/>
      <c r="T99" s="1"/>
      <c r="U99" s="1"/>
      <c r="V99" s="1"/>
      <c r="W99" s="1"/>
      <c r="X99" s="1"/>
    </row>
    <row r="100" spans="1:24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1"/>
      <c r="R100" s="1"/>
      <c r="S100" s="1"/>
      <c r="T100" s="1"/>
      <c r="U100" s="1"/>
      <c r="V100" s="1"/>
      <c r="W100" s="1"/>
      <c r="X100" s="1"/>
    </row>
    <row r="101" spans="1:24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1"/>
      <c r="R101" s="1"/>
      <c r="S101" s="1"/>
      <c r="T101" s="1"/>
      <c r="U101" s="1"/>
      <c r="V101" s="1"/>
      <c r="W101" s="1"/>
      <c r="X101" s="1"/>
    </row>
    <row r="102" spans="1:24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1"/>
      <c r="R102" s="1"/>
      <c r="S102" s="1"/>
      <c r="T102" s="1"/>
      <c r="U102" s="1"/>
      <c r="V102" s="1"/>
      <c r="W102" s="1"/>
      <c r="X102" s="1"/>
    </row>
    <row r="103" spans="1:24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1"/>
      <c r="R103" s="1"/>
      <c r="S103" s="1"/>
      <c r="T103" s="1"/>
      <c r="U103" s="1"/>
      <c r="V103" s="1"/>
      <c r="W103" s="1"/>
      <c r="X103" s="1"/>
    </row>
    <row r="104" spans="1:24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1"/>
      <c r="R104" s="1"/>
      <c r="S104" s="1"/>
      <c r="T104" s="1"/>
      <c r="U104" s="1"/>
      <c r="V104" s="1"/>
      <c r="W104" s="1"/>
      <c r="X104" s="1"/>
    </row>
    <row r="105" spans="1:24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1"/>
      <c r="R105" s="1"/>
      <c r="S105" s="1"/>
      <c r="T105" s="1"/>
      <c r="U105" s="1"/>
      <c r="V105" s="1"/>
      <c r="W105" s="1"/>
      <c r="X105" s="1"/>
    </row>
    <row r="106" spans="1:24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1"/>
      <c r="R106" s="1"/>
      <c r="S106" s="1"/>
      <c r="T106" s="1"/>
      <c r="U106" s="1"/>
      <c r="V106" s="1"/>
      <c r="W106" s="1"/>
      <c r="X106" s="1"/>
    </row>
    <row r="107" spans="1:24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1"/>
      <c r="R107" s="1"/>
      <c r="S107" s="1"/>
      <c r="T107" s="1"/>
      <c r="U107" s="1"/>
      <c r="V107" s="1"/>
      <c r="W107" s="1"/>
      <c r="X107" s="1"/>
    </row>
    <row r="108" spans="1:24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1"/>
      <c r="R108" s="1"/>
      <c r="S108" s="1"/>
      <c r="T108" s="1"/>
      <c r="U108" s="1"/>
      <c r="V108" s="1"/>
      <c r="W108" s="1"/>
      <c r="X108" s="1"/>
    </row>
    <row r="109" spans="1:24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1"/>
      <c r="R109" s="1"/>
      <c r="S109" s="1"/>
      <c r="T109" s="1"/>
      <c r="U109" s="1"/>
      <c r="V109" s="1"/>
      <c r="W109" s="1"/>
      <c r="X109" s="1"/>
    </row>
    <row r="110" spans="1:24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1"/>
      <c r="R110" s="1"/>
      <c r="S110" s="1"/>
      <c r="T110" s="1"/>
      <c r="U110" s="1"/>
      <c r="V110" s="1"/>
      <c r="W110" s="1"/>
      <c r="X110" s="1"/>
    </row>
    <row r="111" spans="1:24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1"/>
      <c r="R111" s="1"/>
      <c r="S111" s="1"/>
      <c r="T111" s="1"/>
      <c r="U111" s="1"/>
      <c r="V111" s="1"/>
      <c r="W111" s="1"/>
      <c r="X111" s="1"/>
    </row>
    <row r="112" spans="1:24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1"/>
      <c r="R112" s="1"/>
      <c r="S112" s="1"/>
      <c r="T112" s="1"/>
      <c r="U112" s="1"/>
      <c r="V112" s="1"/>
      <c r="W112" s="1"/>
      <c r="X112" s="1"/>
    </row>
    <row r="113" spans="1:24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1"/>
      <c r="R113" s="1"/>
      <c r="S113" s="1"/>
      <c r="T113" s="1"/>
      <c r="U113" s="1"/>
      <c r="V113" s="1"/>
      <c r="W113" s="1"/>
      <c r="X113" s="1"/>
    </row>
    <row r="114" spans="1:24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1"/>
      <c r="R114" s="1"/>
      <c r="S114" s="1"/>
      <c r="T114" s="1"/>
      <c r="U114" s="1"/>
      <c r="V114" s="1"/>
      <c r="W114" s="1"/>
      <c r="X114" s="1"/>
    </row>
    <row r="115" spans="1:24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1"/>
      <c r="R115" s="1"/>
      <c r="S115" s="1"/>
      <c r="T115" s="1"/>
      <c r="U115" s="1"/>
      <c r="V115" s="1"/>
      <c r="W115" s="1"/>
      <c r="X115" s="1"/>
    </row>
    <row r="116" spans="1:24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1"/>
      <c r="R116" s="1"/>
      <c r="S116" s="1"/>
      <c r="T116" s="1"/>
      <c r="U116" s="1"/>
      <c r="V116" s="1"/>
      <c r="W116" s="1"/>
      <c r="X116" s="1"/>
    </row>
    <row r="117" spans="1:24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1"/>
      <c r="R117" s="1"/>
      <c r="S117" s="1"/>
      <c r="T117" s="1"/>
      <c r="U117" s="1"/>
      <c r="V117" s="1"/>
      <c r="W117" s="1"/>
      <c r="X117" s="1"/>
    </row>
    <row r="118" spans="1:24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1"/>
      <c r="R118" s="1"/>
      <c r="S118" s="1"/>
      <c r="T118" s="1"/>
      <c r="U118" s="1"/>
      <c r="V118" s="1"/>
      <c r="W118" s="1"/>
      <c r="X118" s="1"/>
    </row>
    <row r="119" spans="1:24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1"/>
      <c r="R119" s="1"/>
      <c r="S119" s="1"/>
      <c r="T119" s="1"/>
      <c r="U119" s="1"/>
      <c r="V119" s="1"/>
      <c r="W119" s="1"/>
      <c r="X119" s="1"/>
    </row>
    <row r="120" spans="1:24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1"/>
      <c r="R120" s="1"/>
      <c r="S120" s="1"/>
      <c r="T120" s="1"/>
      <c r="U120" s="1"/>
      <c r="V120" s="1"/>
      <c r="W120" s="1"/>
      <c r="X120" s="1"/>
    </row>
    <row r="121" spans="1:24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1"/>
      <c r="R121" s="1"/>
      <c r="S121" s="1"/>
      <c r="T121" s="1"/>
      <c r="U121" s="1"/>
      <c r="V121" s="1"/>
      <c r="W121" s="1"/>
      <c r="X121" s="1"/>
    </row>
    <row r="122" spans="1:24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1"/>
      <c r="R122" s="1"/>
      <c r="S122" s="1"/>
      <c r="T122" s="1"/>
      <c r="U122" s="1"/>
      <c r="V122" s="1"/>
      <c r="W122" s="1"/>
      <c r="X122" s="1"/>
    </row>
    <row r="123" spans="1:24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1"/>
      <c r="R123" s="1"/>
      <c r="S123" s="1"/>
      <c r="T123" s="1"/>
      <c r="U123" s="1"/>
      <c r="V123" s="1"/>
      <c r="W123" s="1"/>
      <c r="X123" s="1"/>
    </row>
    <row r="124" spans="1:24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1"/>
      <c r="R124" s="1"/>
      <c r="S124" s="1"/>
      <c r="T124" s="1"/>
      <c r="U124" s="1"/>
      <c r="V124" s="1"/>
      <c r="W124" s="1"/>
      <c r="X124" s="1"/>
    </row>
    <row r="125" spans="1:24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1"/>
      <c r="R125" s="1"/>
      <c r="S125" s="1"/>
      <c r="T125" s="1"/>
      <c r="U125" s="1"/>
      <c r="V125" s="1"/>
      <c r="W125" s="1"/>
      <c r="X125" s="1"/>
    </row>
    <row r="126" spans="1:24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1"/>
      <c r="R126" s="1"/>
      <c r="S126" s="1"/>
      <c r="T126" s="1"/>
      <c r="U126" s="1"/>
      <c r="V126" s="1"/>
      <c r="W126" s="1"/>
      <c r="X126" s="1"/>
    </row>
    <row r="127" spans="1:24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1"/>
      <c r="R127" s="1"/>
      <c r="S127" s="1"/>
      <c r="T127" s="1"/>
      <c r="U127" s="1"/>
      <c r="V127" s="1"/>
      <c r="W127" s="1"/>
      <c r="X127" s="1"/>
    </row>
    <row r="128" spans="1:24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1"/>
      <c r="R128" s="1"/>
      <c r="S128" s="1"/>
      <c r="T128" s="1"/>
      <c r="U128" s="1"/>
      <c r="V128" s="1"/>
      <c r="W128" s="1"/>
      <c r="X128" s="1"/>
    </row>
    <row r="129" spans="1:24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1"/>
      <c r="R129" s="1"/>
      <c r="S129" s="1"/>
      <c r="T129" s="1"/>
      <c r="U129" s="1"/>
      <c r="V129" s="1"/>
      <c r="W129" s="1"/>
      <c r="X129" s="1"/>
    </row>
    <row r="130" spans="1:24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1"/>
      <c r="R130" s="1"/>
      <c r="S130" s="1"/>
      <c r="T130" s="1"/>
      <c r="U130" s="1"/>
      <c r="V130" s="1"/>
      <c r="W130" s="1"/>
      <c r="X130" s="1"/>
    </row>
    <row r="131" spans="1:24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1"/>
      <c r="R131" s="1"/>
      <c r="S131" s="1"/>
      <c r="T131" s="1"/>
      <c r="U131" s="1"/>
      <c r="V131" s="1"/>
      <c r="W131" s="1"/>
      <c r="X131" s="1"/>
    </row>
    <row r="132" spans="1:24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1"/>
      <c r="R132" s="1"/>
      <c r="S132" s="1"/>
      <c r="T132" s="1"/>
      <c r="U132" s="1"/>
      <c r="V132" s="1"/>
      <c r="W132" s="1"/>
      <c r="X132" s="1"/>
    </row>
    <row r="133" spans="1:24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1"/>
      <c r="R133" s="1"/>
      <c r="S133" s="1"/>
      <c r="T133" s="1"/>
      <c r="U133" s="1"/>
      <c r="V133" s="1"/>
      <c r="W133" s="1"/>
      <c r="X133" s="1"/>
    </row>
    <row r="134" spans="1:24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1"/>
      <c r="R134" s="1"/>
      <c r="S134" s="1"/>
      <c r="T134" s="1"/>
      <c r="U134" s="1"/>
      <c r="V134" s="1"/>
      <c r="W134" s="1"/>
      <c r="X134" s="1"/>
    </row>
    <row r="135" spans="1:24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1"/>
      <c r="R135" s="1"/>
      <c r="S135" s="1"/>
      <c r="T135" s="1"/>
      <c r="U135" s="1"/>
      <c r="V135" s="1"/>
      <c r="W135" s="1"/>
      <c r="X135" s="1"/>
    </row>
    <row r="136" spans="1:24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1"/>
      <c r="R136" s="1"/>
      <c r="S136" s="1"/>
      <c r="T136" s="1"/>
      <c r="U136" s="1"/>
      <c r="V136" s="1"/>
      <c r="W136" s="1"/>
      <c r="X136" s="1"/>
    </row>
    <row r="137" spans="1:24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1"/>
      <c r="R137" s="1"/>
      <c r="S137" s="1"/>
      <c r="T137" s="1"/>
      <c r="U137" s="1"/>
      <c r="V137" s="1"/>
      <c r="W137" s="1"/>
      <c r="X137" s="1"/>
    </row>
    <row r="138" spans="1:24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1"/>
      <c r="R138" s="1"/>
      <c r="S138" s="1"/>
      <c r="T138" s="1"/>
      <c r="U138" s="1"/>
      <c r="V138" s="1"/>
      <c r="W138" s="1"/>
      <c r="X138" s="1"/>
    </row>
    <row r="139" spans="1:24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1"/>
      <c r="R139" s="1"/>
      <c r="S139" s="1"/>
      <c r="T139" s="1"/>
      <c r="U139" s="1"/>
      <c r="V139" s="1"/>
      <c r="W139" s="1"/>
      <c r="X139" s="1"/>
    </row>
    <row r="140" spans="1:24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1"/>
      <c r="R140" s="1"/>
      <c r="S140" s="1"/>
      <c r="T140" s="1"/>
      <c r="U140" s="1"/>
      <c r="V140" s="1"/>
      <c r="W140" s="1"/>
      <c r="X140" s="1"/>
    </row>
    <row r="141" spans="1:24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1"/>
      <c r="R141" s="1"/>
      <c r="S141" s="1"/>
      <c r="T141" s="1"/>
      <c r="U141" s="1"/>
      <c r="V141" s="1"/>
      <c r="W141" s="1"/>
      <c r="X141" s="1"/>
    </row>
    <row r="142" spans="1:24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1"/>
      <c r="R142" s="1"/>
      <c r="S142" s="1"/>
      <c r="T142" s="1"/>
      <c r="U142" s="1"/>
      <c r="V142" s="1"/>
      <c r="W142" s="1"/>
      <c r="X142" s="1"/>
    </row>
    <row r="143" spans="1:24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1"/>
      <c r="R143" s="1"/>
      <c r="S143" s="1"/>
      <c r="T143" s="1"/>
      <c r="U143" s="1"/>
      <c r="V143" s="1"/>
      <c r="W143" s="1"/>
      <c r="X143" s="1"/>
    </row>
    <row r="144" spans="1:24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1"/>
      <c r="R144" s="1"/>
      <c r="S144" s="1"/>
      <c r="T144" s="1"/>
      <c r="U144" s="1"/>
      <c r="V144" s="1"/>
      <c r="W144" s="1"/>
      <c r="X144" s="1"/>
    </row>
    <row r="145" spans="1:24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1"/>
      <c r="R145" s="1"/>
      <c r="S145" s="1"/>
      <c r="T145" s="1"/>
      <c r="U145" s="1"/>
      <c r="V145" s="1"/>
      <c r="W145" s="1"/>
      <c r="X145" s="1"/>
    </row>
    <row r="146" spans="1:24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1"/>
      <c r="R146" s="1"/>
      <c r="S146" s="1"/>
      <c r="T146" s="1"/>
      <c r="U146" s="1"/>
      <c r="V146" s="1"/>
      <c r="W146" s="1"/>
      <c r="X146" s="1"/>
    </row>
    <row r="147" spans="1:24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1"/>
      <c r="R147" s="1"/>
      <c r="S147" s="1"/>
      <c r="T147" s="1"/>
      <c r="U147" s="1"/>
      <c r="V147" s="1"/>
      <c r="W147" s="1"/>
      <c r="X147" s="1"/>
    </row>
    <row r="148" spans="1:24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1"/>
      <c r="R148" s="1"/>
      <c r="S148" s="1"/>
      <c r="T148" s="1"/>
      <c r="U148" s="1"/>
      <c r="V148" s="1"/>
      <c r="W148" s="1"/>
      <c r="X148" s="1"/>
    </row>
    <row r="149" spans="1:24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1"/>
      <c r="R149" s="1"/>
      <c r="S149" s="1"/>
      <c r="T149" s="1"/>
      <c r="U149" s="1"/>
      <c r="V149" s="1"/>
      <c r="W149" s="1"/>
      <c r="X149" s="1"/>
    </row>
    <row r="150" spans="1:24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1"/>
      <c r="R150" s="1"/>
      <c r="S150" s="1"/>
      <c r="T150" s="1"/>
      <c r="U150" s="1"/>
      <c r="V150" s="1"/>
      <c r="W150" s="1"/>
      <c r="X150" s="1"/>
    </row>
    <row r="151" spans="1:24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1"/>
      <c r="R151" s="1"/>
      <c r="S151" s="1"/>
      <c r="T151" s="1"/>
      <c r="U151" s="1"/>
      <c r="V151" s="1"/>
      <c r="W151" s="1"/>
      <c r="X151" s="1"/>
    </row>
    <row r="152" spans="1:24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1"/>
      <c r="R152" s="1"/>
      <c r="S152" s="1"/>
      <c r="T152" s="1"/>
      <c r="U152" s="1"/>
      <c r="V152" s="1"/>
      <c r="W152" s="1"/>
      <c r="X152" s="1"/>
    </row>
    <row r="153" spans="1:24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1"/>
      <c r="R153" s="1"/>
      <c r="S153" s="1"/>
      <c r="T153" s="1"/>
      <c r="U153" s="1"/>
      <c r="V153" s="1"/>
      <c r="W153" s="1"/>
      <c r="X153" s="1"/>
    </row>
    <row r="154" spans="1:24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1"/>
      <c r="R154" s="1"/>
      <c r="S154" s="1"/>
      <c r="T154" s="1"/>
      <c r="U154" s="1"/>
      <c r="V154" s="1"/>
      <c r="W154" s="1"/>
      <c r="X154" s="1"/>
    </row>
    <row r="155" spans="1:24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1"/>
      <c r="R155" s="1"/>
      <c r="S155" s="1"/>
      <c r="T155" s="1"/>
      <c r="U155" s="1"/>
      <c r="V155" s="1"/>
      <c r="W155" s="1"/>
      <c r="X155" s="1"/>
    </row>
    <row r="156" spans="1:24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1"/>
      <c r="R156" s="1"/>
      <c r="S156" s="1"/>
      <c r="T156" s="1"/>
      <c r="U156" s="1"/>
      <c r="V156" s="1"/>
      <c r="W156" s="1"/>
      <c r="X156" s="1"/>
    </row>
    <row r="157" spans="1:24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1"/>
      <c r="R157" s="1"/>
      <c r="S157" s="1"/>
      <c r="T157" s="1"/>
      <c r="U157" s="1"/>
      <c r="V157" s="1"/>
      <c r="W157" s="1"/>
      <c r="X157" s="1"/>
    </row>
    <row r="158" spans="1:24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1"/>
      <c r="R158" s="1"/>
      <c r="S158" s="1"/>
      <c r="T158" s="1"/>
      <c r="U158" s="1"/>
      <c r="V158" s="1"/>
      <c r="W158" s="1"/>
      <c r="X158" s="1"/>
    </row>
    <row r="159" spans="1:24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1"/>
      <c r="R159" s="1"/>
      <c r="S159" s="1"/>
      <c r="T159" s="1"/>
      <c r="U159" s="1"/>
      <c r="V159" s="1"/>
      <c r="W159" s="1"/>
      <c r="X159" s="1"/>
    </row>
    <row r="160" spans="1:24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1"/>
      <c r="R160" s="1"/>
      <c r="S160" s="1"/>
      <c r="T160" s="1"/>
      <c r="U160" s="1"/>
      <c r="V160" s="1"/>
      <c r="W160" s="1"/>
      <c r="X160" s="1"/>
    </row>
    <row r="161" spans="1:24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1"/>
      <c r="R161" s="1"/>
      <c r="S161" s="1"/>
      <c r="T161" s="1"/>
      <c r="U161" s="1"/>
      <c r="V161" s="1"/>
      <c r="W161" s="1"/>
      <c r="X161" s="1"/>
    </row>
    <row r="162" spans="1:24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1"/>
      <c r="R162" s="1"/>
      <c r="S162" s="1"/>
      <c r="T162" s="1"/>
      <c r="U162" s="1"/>
      <c r="V162" s="1"/>
      <c r="W162" s="1"/>
      <c r="X162" s="1"/>
    </row>
    <row r="163" spans="1:24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1"/>
      <c r="R163" s="1"/>
      <c r="S163" s="1"/>
      <c r="T163" s="1"/>
      <c r="U163" s="1"/>
      <c r="V163" s="1"/>
      <c r="W163" s="1"/>
      <c r="X163" s="1"/>
    </row>
    <row r="164" spans="1:24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1"/>
      <c r="R164" s="1"/>
      <c r="S164" s="1"/>
      <c r="T164" s="1"/>
      <c r="U164" s="1"/>
      <c r="V164" s="1"/>
      <c r="W164" s="1"/>
      <c r="X164" s="1"/>
    </row>
    <row r="165" spans="1:24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1"/>
      <c r="R165" s="1"/>
      <c r="S165" s="1"/>
      <c r="T165" s="1"/>
      <c r="U165" s="1"/>
      <c r="V165" s="1"/>
      <c r="W165" s="1"/>
      <c r="X165" s="1"/>
    </row>
    <row r="166" spans="1:24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1"/>
      <c r="R166" s="1"/>
      <c r="S166" s="1"/>
      <c r="T166" s="1"/>
      <c r="U166" s="1"/>
      <c r="V166" s="1"/>
      <c r="W166" s="1"/>
      <c r="X166" s="1"/>
    </row>
    <row r="167" spans="1:24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1"/>
      <c r="R167" s="1"/>
      <c r="S167" s="1"/>
      <c r="T167" s="1"/>
      <c r="U167" s="1"/>
      <c r="V167" s="1"/>
      <c r="W167" s="1"/>
      <c r="X167" s="1"/>
    </row>
    <row r="168" spans="1:24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1"/>
      <c r="R168" s="1"/>
      <c r="S168" s="1"/>
      <c r="T168" s="1"/>
      <c r="U168" s="1"/>
      <c r="V168" s="1"/>
      <c r="W168" s="1"/>
      <c r="X168" s="1"/>
    </row>
    <row r="169" spans="1:24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1"/>
      <c r="R169" s="1"/>
      <c r="S169" s="1"/>
      <c r="T169" s="1"/>
      <c r="U169" s="1"/>
      <c r="V169" s="1"/>
      <c r="W169" s="1"/>
      <c r="X169" s="1"/>
    </row>
    <row r="170" spans="1:24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1"/>
      <c r="R170" s="1"/>
      <c r="S170" s="1"/>
      <c r="T170" s="1"/>
      <c r="U170" s="1"/>
      <c r="V170" s="1"/>
      <c r="W170" s="1"/>
      <c r="X170" s="1"/>
    </row>
    <row r="171" spans="1:24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1"/>
      <c r="R171" s="1"/>
      <c r="S171" s="1"/>
      <c r="T171" s="1"/>
      <c r="U171" s="1"/>
      <c r="V171" s="1"/>
      <c r="W171" s="1"/>
      <c r="X171" s="1"/>
    </row>
    <row r="172" spans="1:24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1"/>
      <c r="R172" s="1"/>
      <c r="S172" s="1"/>
      <c r="T172" s="1"/>
      <c r="U172" s="1"/>
      <c r="V172" s="1"/>
      <c r="W172" s="1"/>
      <c r="X172" s="1"/>
    </row>
    <row r="173" spans="1:24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1"/>
      <c r="R173" s="1"/>
      <c r="S173" s="1"/>
      <c r="T173" s="1"/>
      <c r="U173" s="1"/>
      <c r="V173" s="1"/>
      <c r="W173" s="1"/>
      <c r="X173" s="1"/>
    </row>
    <row r="174" spans="1:24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1"/>
      <c r="R174" s="1"/>
      <c r="S174" s="1"/>
      <c r="T174" s="1"/>
      <c r="U174" s="1"/>
      <c r="V174" s="1"/>
      <c r="W174" s="1"/>
      <c r="X174" s="1"/>
    </row>
    <row r="175" spans="1:24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1"/>
      <c r="R175" s="1"/>
      <c r="S175" s="1"/>
      <c r="T175" s="1"/>
      <c r="U175" s="1"/>
      <c r="V175" s="1"/>
      <c r="W175" s="1"/>
      <c r="X175" s="1"/>
    </row>
    <row r="176" spans="1:24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1"/>
      <c r="R176" s="1"/>
      <c r="S176" s="1"/>
      <c r="T176" s="1"/>
      <c r="U176" s="1"/>
      <c r="V176" s="1"/>
      <c r="W176" s="1"/>
      <c r="X176" s="1"/>
    </row>
    <row r="177" spans="1:24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1"/>
      <c r="R177" s="1"/>
      <c r="S177" s="1"/>
      <c r="T177" s="1"/>
      <c r="U177" s="1"/>
      <c r="V177" s="1"/>
      <c r="W177" s="1"/>
      <c r="X177" s="1"/>
    </row>
    <row r="178" spans="1:24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1"/>
      <c r="R178" s="1"/>
      <c r="S178" s="1"/>
      <c r="T178" s="1"/>
      <c r="U178" s="1"/>
      <c r="V178" s="1"/>
      <c r="W178" s="1"/>
      <c r="X178" s="1"/>
    </row>
    <row r="179" spans="1:24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1"/>
      <c r="R179" s="1"/>
      <c r="S179" s="1"/>
      <c r="T179" s="1"/>
      <c r="U179" s="1"/>
      <c r="V179" s="1"/>
      <c r="W179" s="1"/>
      <c r="X179" s="1"/>
    </row>
    <row r="180" spans="1:24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1"/>
      <c r="R180" s="1"/>
      <c r="S180" s="1"/>
      <c r="T180" s="1"/>
      <c r="U180" s="1"/>
      <c r="V180" s="1"/>
      <c r="W180" s="1"/>
      <c r="X180" s="1"/>
    </row>
    <row r="181" spans="1:24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1"/>
      <c r="R181" s="1"/>
      <c r="S181" s="1"/>
      <c r="T181" s="1"/>
      <c r="U181" s="1"/>
      <c r="V181" s="1"/>
      <c r="W181" s="1"/>
      <c r="X181" s="1"/>
    </row>
    <row r="182" spans="1:24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1"/>
      <c r="R182" s="1"/>
      <c r="S182" s="1"/>
      <c r="T182" s="1"/>
      <c r="U182" s="1"/>
      <c r="V182" s="1"/>
      <c r="W182" s="1"/>
      <c r="X182" s="1"/>
    </row>
    <row r="183" spans="1:24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1"/>
      <c r="R183" s="1"/>
      <c r="S183" s="1"/>
      <c r="T183" s="1"/>
      <c r="U183" s="1"/>
      <c r="V183" s="1"/>
      <c r="W183" s="1"/>
      <c r="X183" s="1"/>
    </row>
    <row r="184" spans="1:24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1"/>
      <c r="R184" s="1"/>
      <c r="S184" s="1"/>
      <c r="T184" s="1"/>
      <c r="U184" s="1"/>
      <c r="V184" s="1"/>
      <c r="W184" s="1"/>
      <c r="X184" s="1"/>
    </row>
    <row r="185" spans="1:24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1"/>
      <c r="R185" s="1"/>
      <c r="S185" s="1"/>
      <c r="T185" s="1"/>
      <c r="U185" s="1"/>
      <c r="V185" s="1"/>
      <c r="W185" s="1"/>
      <c r="X185" s="1"/>
    </row>
    <row r="186" spans="1:24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1"/>
      <c r="R186" s="1"/>
      <c r="S186" s="1"/>
      <c r="T186" s="1"/>
      <c r="U186" s="1"/>
      <c r="V186" s="1"/>
      <c r="W186" s="1"/>
      <c r="X186" s="1"/>
    </row>
    <row r="187" spans="1:24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1"/>
      <c r="R187" s="1"/>
      <c r="S187" s="1"/>
      <c r="T187" s="1"/>
      <c r="U187" s="1"/>
      <c r="V187" s="1"/>
      <c r="W187" s="1"/>
      <c r="X187" s="1"/>
    </row>
    <row r="188" spans="1:24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1"/>
      <c r="R188" s="1"/>
      <c r="S188" s="1"/>
      <c r="T188" s="1"/>
      <c r="U188" s="1"/>
      <c r="V188" s="1"/>
      <c r="W188" s="1"/>
      <c r="X188" s="1"/>
    </row>
    <row r="189" spans="1:24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1"/>
      <c r="R189" s="1"/>
      <c r="S189" s="1"/>
      <c r="T189" s="1"/>
      <c r="U189" s="1"/>
      <c r="V189" s="1"/>
      <c r="W189" s="1"/>
      <c r="X189" s="1"/>
    </row>
    <row r="190" spans="1:24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1"/>
      <c r="R190" s="1"/>
      <c r="S190" s="1"/>
      <c r="T190" s="1"/>
      <c r="U190" s="1"/>
      <c r="V190" s="1"/>
      <c r="W190" s="1"/>
      <c r="X190" s="1"/>
    </row>
    <row r="191" spans="1:24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1"/>
      <c r="R191" s="1"/>
      <c r="S191" s="1"/>
      <c r="T191" s="1"/>
      <c r="U191" s="1"/>
      <c r="V191" s="1"/>
      <c r="W191" s="1"/>
      <c r="X191" s="1"/>
    </row>
    <row r="192" spans="1:24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1"/>
      <c r="R192" s="1"/>
      <c r="S192" s="1"/>
      <c r="T192" s="1"/>
      <c r="U192" s="1"/>
      <c r="V192" s="1"/>
      <c r="W192" s="1"/>
      <c r="X192" s="1"/>
    </row>
    <row r="193" spans="1:24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1"/>
      <c r="R193" s="1"/>
      <c r="S193" s="1"/>
      <c r="T193" s="1"/>
      <c r="U193" s="1"/>
      <c r="V193" s="1"/>
      <c r="W193" s="1"/>
      <c r="X193" s="1"/>
    </row>
    <row r="194" spans="1:24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1"/>
      <c r="R194" s="1"/>
      <c r="S194" s="1"/>
      <c r="T194" s="1"/>
      <c r="U194" s="1"/>
      <c r="V194" s="1"/>
      <c r="W194" s="1"/>
      <c r="X194" s="1"/>
    </row>
    <row r="195" spans="1:24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1"/>
      <c r="R195" s="1"/>
      <c r="S195" s="1"/>
      <c r="T195" s="1"/>
      <c r="U195" s="1"/>
      <c r="V195" s="1"/>
      <c r="W195" s="1"/>
      <c r="X195" s="1"/>
    </row>
    <row r="196" spans="1:24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1"/>
      <c r="R196" s="1"/>
      <c r="S196" s="1"/>
      <c r="T196" s="1"/>
      <c r="U196" s="1"/>
      <c r="V196" s="1"/>
      <c r="W196" s="1"/>
      <c r="X196" s="1"/>
    </row>
    <row r="197" spans="1:24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1"/>
      <c r="R197" s="1"/>
      <c r="S197" s="1"/>
      <c r="T197" s="1"/>
      <c r="U197" s="1"/>
      <c r="V197" s="1"/>
      <c r="W197" s="1"/>
      <c r="X197" s="1"/>
    </row>
    <row r="198" spans="1:24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1"/>
      <c r="R198" s="1"/>
      <c r="S198" s="1"/>
      <c r="T198" s="1"/>
      <c r="U198" s="1"/>
      <c r="V198" s="1"/>
      <c r="W198" s="1"/>
      <c r="X198" s="1"/>
    </row>
    <row r="199" spans="1:24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1"/>
      <c r="R199" s="1"/>
      <c r="S199" s="1"/>
      <c r="T199" s="1"/>
      <c r="U199" s="1"/>
      <c r="V199" s="1"/>
      <c r="W199" s="1"/>
      <c r="X199" s="1"/>
    </row>
    <row r="200" spans="1:24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1"/>
      <c r="R200" s="1"/>
      <c r="S200" s="1"/>
      <c r="T200" s="1"/>
      <c r="U200" s="1"/>
      <c r="V200" s="1"/>
      <c r="W200" s="1"/>
      <c r="X200" s="1"/>
    </row>
    <row r="201" spans="1:24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1"/>
      <c r="R201" s="1"/>
      <c r="S201" s="1"/>
      <c r="T201" s="1"/>
      <c r="U201" s="1"/>
      <c r="V201" s="1"/>
      <c r="W201" s="1"/>
      <c r="X201" s="1"/>
    </row>
    <row r="202" spans="1:24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1"/>
      <c r="R202" s="1"/>
      <c r="S202" s="1"/>
      <c r="T202" s="1"/>
      <c r="U202" s="1"/>
      <c r="V202" s="1"/>
      <c r="W202" s="1"/>
      <c r="X202" s="1"/>
    </row>
    <row r="203" spans="1:24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1"/>
      <c r="R203" s="1"/>
      <c r="S203" s="1"/>
      <c r="T203" s="1"/>
      <c r="U203" s="1"/>
      <c r="V203" s="1"/>
      <c r="W203" s="1"/>
      <c r="X203" s="1"/>
    </row>
    <row r="204" spans="1:24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1"/>
      <c r="R204" s="1"/>
      <c r="S204" s="1"/>
      <c r="T204" s="1"/>
      <c r="U204" s="1"/>
      <c r="V204" s="1"/>
      <c r="W204" s="1"/>
      <c r="X204" s="1"/>
    </row>
    <row r="205" spans="1:24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1"/>
      <c r="R205" s="1"/>
      <c r="S205" s="1"/>
      <c r="T205" s="1"/>
      <c r="U205" s="1"/>
      <c r="V205" s="1"/>
      <c r="W205" s="1"/>
      <c r="X205" s="1"/>
    </row>
    <row r="206" spans="1:24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1"/>
      <c r="R206" s="1"/>
      <c r="S206" s="1"/>
      <c r="T206" s="1"/>
      <c r="U206" s="1"/>
      <c r="V206" s="1"/>
      <c r="W206" s="1"/>
      <c r="X206" s="1"/>
    </row>
    <row r="207" spans="1:24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1"/>
      <c r="R207" s="1"/>
      <c r="S207" s="1"/>
      <c r="T207" s="1"/>
      <c r="U207" s="1"/>
      <c r="V207" s="1"/>
      <c r="W207" s="1"/>
      <c r="X207" s="1"/>
    </row>
    <row r="208" spans="1:24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1"/>
      <c r="R208" s="1"/>
      <c r="S208" s="1"/>
      <c r="T208" s="1"/>
      <c r="U208" s="1"/>
      <c r="V208" s="1"/>
      <c r="W208" s="1"/>
      <c r="X208" s="1"/>
    </row>
    <row r="209" spans="1:24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1"/>
      <c r="R209" s="1"/>
      <c r="S209" s="1"/>
      <c r="T209" s="1"/>
      <c r="U209" s="1"/>
      <c r="V209" s="1"/>
      <c r="W209" s="1"/>
      <c r="X209" s="1"/>
    </row>
    <row r="210" spans="1:24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1"/>
      <c r="R210" s="1"/>
      <c r="S210" s="1"/>
      <c r="T210" s="1"/>
      <c r="U210" s="1"/>
      <c r="V210" s="1"/>
      <c r="W210" s="1"/>
      <c r="X210" s="1"/>
    </row>
    <row r="211" spans="1:24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1"/>
      <c r="R211" s="1"/>
      <c r="S211" s="1"/>
      <c r="T211" s="1"/>
      <c r="U211" s="1"/>
      <c r="V211" s="1"/>
      <c r="W211" s="1"/>
      <c r="X211" s="1"/>
    </row>
    <row r="212" spans="1:24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1"/>
      <c r="R212" s="1"/>
      <c r="S212" s="1"/>
      <c r="T212" s="1"/>
      <c r="U212" s="1"/>
      <c r="V212" s="1"/>
      <c r="W212" s="1"/>
      <c r="X212" s="1"/>
    </row>
    <row r="213" spans="1:24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1"/>
      <c r="R213" s="1"/>
      <c r="S213" s="1"/>
      <c r="T213" s="1"/>
      <c r="U213" s="1"/>
      <c r="V213" s="1"/>
      <c r="W213" s="1"/>
      <c r="X213" s="1"/>
    </row>
    <row r="214" spans="1:24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1"/>
      <c r="R214" s="1"/>
      <c r="S214" s="1"/>
      <c r="T214" s="1"/>
      <c r="U214" s="1"/>
      <c r="V214" s="1"/>
      <c r="W214" s="1"/>
      <c r="X214" s="1"/>
    </row>
    <row r="215" spans="1:24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1"/>
      <c r="R215" s="1"/>
      <c r="S215" s="1"/>
      <c r="T215" s="1"/>
      <c r="U215" s="1"/>
      <c r="V215" s="1"/>
      <c r="W215" s="1"/>
      <c r="X215" s="1"/>
    </row>
    <row r="216" spans="1:24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1"/>
      <c r="R216" s="1"/>
      <c r="S216" s="1"/>
      <c r="T216" s="1"/>
      <c r="U216" s="1"/>
      <c r="V216" s="1"/>
      <c r="W216" s="1"/>
      <c r="X216" s="1"/>
    </row>
    <row r="217" spans="1:24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1"/>
      <c r="R217" s="1"/>
      <c r="S217" s="1"/>
      <c r="T217" s="1"/>
      <c r="U217" s="1"/>
      <c r="V217" s="1"/>
      <c r="W217" s="1"/>
      <c r="X217" s="1"/>
    </row>
    <row r="218" spans="1:24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1"/>
      <c r="R218" s="1"/>
      <c r="S218" s="1"/>
      <c r="T218" s="1"/>
      <c r="U218" s="1"/>
      <c r="V218" s="1"/>
      <c r="W218" s="1"/>
      <c r="X218" s="1"/>
    </row>
    <row r="219" spans="1:24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1"/>
      <c r="R219" s="1"/>
      <c r="S219" s="1"/>
      <c r="T219" s="1"/>
      <c r="U219" s="1"/>
      <c r="V219" s="1"/>
      <c r="W219" s="1"/>
      <c r="X219" s="1"/>
    </row>
    <row r="220" spans="1:24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1"/>
      <c r="R220" s="1"/>
      <c r="S220" s="1"/>
      <c r="T220" s="1"/>
      <c r="U220" s="1"/>
      <c r="V220" s="1"/>
      <c r="W220" s="1"/>
      <c r="X220" s="1"/>
    </row>
    <row r="221" spans="1:24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1"/>
      <c r="R221" s="1"/>
      <c r="S221" s="1"/>
      <c r="T221" s="1"/>
      <c r="U221" s="1"/>
      <c r="V221" s="1"/>
      <c r="W221" s="1"/>
      <c r="X221" s="1"/>
    </row>
    <row r="222" spans="1:24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1"/>
      <c r="R222" s="1"/>
      <c r="S222" s="1"/>
      <c r="T222" s="1"/>
      <c r="U222" s="1"/>
      <c r="V222" s="1"/>
      <c r="W222" s="1"/>
      <c r="X222" s="1"/>
    </row>
    <row r="223" spans="1:24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1"/>
      <c r="R223" s="1"/>
      <c r="S223" s="1"/>
      <c r="T223" s="1"/>
      <c r="U223" s="1"/>
      <c r="V223" s="1"/>
      <c r="W223" s="1"/>
      <c r="X223" s="1"/>
    </row>
    <row r="224" spans="1:24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1"/>
      <c r="R224" s="1"/>
      <c r="S224" s="1"/>
      <c r="T224" s="1"/>
      <c r="U224" s="1"/>
      <c r="V224" s="1"/>
      <c r="W224" s="1"/>
      <c r="X224" s="1"/>
    </row>
    <row r="225" spans="1:24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1"/>
      <c r="R225" s="1"/>
      <c r="S225" s="1"/>
      <c r="T225" s="1"/>
      <c r="U225" s="1"/>
      <c r="V225" s="1"/>
      <c r="W225" s="1"/>
      <c r="X225" s="1"/>
    </row>
    <row r="226" spans="1:24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1"/>
      <c r="R226" s="1"/>
      <c r="S226" s="1"/>
      <c r="T226" s="1"/>
      <c r="U226" s="1"/>
      <c r="V226" s="1"/>
      <c r="W226" s="1"/>
      <c r="X226" s="1"/>
    </row>
    <row r="227" spans="1:24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1"/>
      <c r="R227" s="1"/>
      <c r="S227" s="1"/>
      <c r="T227" s="1"/>
      <c r="U227" s="1"/>
      <c r="V227" s="1"/>
      <c r="W227" s="1"/>
      <c r="X227" s="1"/>
    </row>
    <row r="228" spans="1:24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1"/>
      <c r="R228" s="1"/>
      <c r="S228" s="1"/>
      <c r="T228" s="1"/>
      <c r="U228" s="1"/>
      <c r="V228" s="1"/>
      <c r="W228" s="1"/>
      <c r="X228" s="1"/>
    </row>
    <row r="229" spans="1:24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1"/>
      <c r="R229" s="1"/>
      <c r="S229" s="1"/>
      <c r="T229" s="1"/>
      <c r="U229" s="1"/>
      <c r="V229" s="1"/>
      <c r="W229" s="1"/>
      <c r="X229" s="1"/>
    </row>
    <row r="230" spans="1:24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1"/>
      <c r="R230" s="1"/>
      <c r="S230" s="1"/>
      <c r="T230" s="1"/>
      <c r="U230" s="1"/>
      <c r="V230" s="1"/>
      <c r="W230" s="1"/>
      <c r="X230" s="1"/>
    </row>
    <row r="231" spans="1:24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1"/>
      <c r="R231" s="1"/>
      <c r="S231" s="1"/>
      <c r="T231" s="1"/>
      <c r="U231" s="1"/>
      <c r="V231" s="1"/>
      <c r="W231" s="1"/>
      <c r="X231" s="1"/>
    </row>
    <row r="232" spans="1:24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1"/>
      <c r="R232" s="1"/>
      <c r="S232" s="1"/>
      <c r="T232" s="1"/>
      <c r="U232" s="1"/>
      <c r="V232" s="1"/>
      <c r="W232" s="1"/>
      <c r="X232" s="1"/>
    </row>
    <row r="233" spans="1:24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1"/>
      <c r="R233" s="1"/>
      <c r="S233" s="1"/>
      <c r="T233" s="1"/>
      <c r="U233" s="1"/>
      <c r="V233" s="1"/>
      <c r="W233" s="1"/>
      <c r="X233" s="1"/>
    </row>
    <row r="234" spans="1:24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1"/>
      <c r="R234" s="1"/>
      <c r="S234" s="1"/>
      <c r="T234" s="1"/>
      <c r="U234" s="1"/>
      <c r="V234" s="1"/>
      <c r="W234" s="1"/>
      <c r="X234" s="1"/>
    </row>
    <row r="235" spans="1:24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1"/>
      <c r="R235" s="1"/>
      <c r="S235" s="1"/>
      <c r="T235" s="1"/>
      <c r="U235" s="1"/>
      <c r="V235" s="1"/>
      <c r="W235" s="1"/>
      <c r="X235" s="1"/>
    </row>
    <row r="236" spans="1:24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1"/>
      <c r="R236" s="1"/>
      <c r="S236" s="1"/>
      <c r="T236" s="1"/>
      <c r="U236" s="1"/>
      <c r="V236" s="1"/>
      <c r="W236" s="1"/>
      <c r="X236" s="1"/>
    </row>
    <row r="237" spans="1:24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1"/>
      <c r="R237" s="1"/>
      <c r="S237" s="1"/>
      <c r="T237" s="1"/>
      <c r="U237" s="1"/>
      <c r="V237" s="1"/>
      <c r="W237" s="1"/>
      <c r="X237" s="1"/>
    </row>
    <row r="238" spans="1:24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1"/>
      <c r="R238" s="1"/>
      <c r="S238" s="1"/>
      <c r="T238" s="1"/>
      <c r="U238" s="1"/>
      <c r="V238" s="1"/>
      <c r="W238" s="1"/>
      <c r="X238" s="1"/>
    </row>
    <row r="239" spans="1:24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1"/>
      <c r="R239" s="1"/>
      <c r="S239" s="1"/>
      <c r="T239" s="1"/>
      <c r="U239" s="1"/>
      <c r="V239" s="1"/>
      <c r="W239" s="1"/>
      <c r="X239" s="1"/>
    </row>
    <row r="240" spans="1:24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1"/>
      <c r="R240" s="1"/>
      <c r="S240" s="1"/>
      <c r="T240" s="1"/>
      <c r="U240" s="1"/>
      <c r="V240" s="1"/>
      <c r="W240" s="1"/>
      <c r="X240" s="1"/>
    </row>
    <row r="241" spans="1:24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1"/>
      <c r="R241" s="1"/>
      <c r="S241" s="1"/>
      <c r="T241" s="1"/>
      <c r="U241" s="1"/>
      <c r="V241" s="1"/>
      <c r="W241" s="1"/>
      <c r="X241" s="1"/>
    </row>
    <row r="242" spans="1:24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1"/>
      <c r="R242" s="1"/>
      <c r="S242" s="1"/>
      <c r="T242" s="1"/>
      <c r="U242" s="1"/>
      <c r="V242" s="1"/>
      <c r="W242" s="1"/>
      <c r="X242" s="1"/>
    </row>
    <row r="243" spans="1:24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1"/>
      <c r="R243" s="1"/>
      <c r="S243" s="1"/>
      <c r="T243" s="1"/>
      <c r="U243" s="1"/>
      <c r="V243" s="1"/>
      <c r="W243" s="1"/>
      <c r="X243" s="1"/>
    </row>
    <row r="244" spans="1:24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1"/>
      <c r="R244" s="1"/>
      <c r="S244" s="1"/>
      <c r="T244" s="1"/>
      <c r="U244" s="1"/>
      <c r="V244" s="1"/>
      <c r="W244" s="1"/>
      <c r="X244" s="1"/>
    </row>
    <row r="245" spans="1:24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1"/>
      <c r="R245" s="1"/>
      <c r="S245" s="1"/>
      <c r="T245" s="1"/>
      <c r="U245" s="1"/>
      <c r="V245" s="1"/>
      <c r="W245" s="1"/>
      <c r="X245" s="1"/>
    </row>
    <row r="246" spans="1:24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1"/>
      <c r="R246" s="1"/>
      <c r="S246" s="1"/>
      <c r="T246" s="1"/>
      <c r="U246" s="1"/>
      <c r="V246" s="1"/>
      <c r="W246" s="1"/>
      <c r="X246" s="1"/>
    </row>
    <row r="247" spans="1:24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1"/>
      <c r="R247" s="1"/>
      <c r="S247" s="1"/>
      <c r="T247" s="1"/>
      <c r="U247" s="1"/>
      <c r="V247" s="1"/>
      <c r="W247" s="1"/>
      <c r="X247" s="1"/>
    </row>
    <row r="248" spans="1:24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1"/>
      <c r="R248" s="1"/>
      <c r="S248" s="1"/>
      <c r="T248" s="1"/>
      <c r="U248" s="1"/>
      <c r="V248" s="1"/>
      <c r="W248" s="1"/>
      <c r="X248" s="1"/>
    </row>
    <row r="249" spans="1:24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1"/>
      <c r="R249" s="1"/>
      <c r="S249" s="1"/>
      <c r="T249" s="1"/>
      <c r="U249" s="1"/>
      <c r="V249" s="1"/>
      <c r="W249" s="1"/>
      <c r="X249" s="1"/>
    </row>
    <row r="250" spans="1:24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1"/>
      <c r="R250" s="1"/>
      <c r="S250" s="1"/>
      <c r="T250" s="1"/>
      <c r="U250" s="1"/>
      <c r="V250" s="1"/>
      <c r="W250" s="1"/>
      <c r="X250" s="1"/>
    </row>
    <row r="251" spans="1:24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1"/>
      <c r="R251" s="1"/>
      <c r="S251" s="1"/>
      <c r="T251" s="1"/>
      <c r="U251" s="1"/>
      <c r="V251" s="1"/>
      <c r="W251" s="1"/>
      <c r="X251" s="1"/>
    </row>
    <row r="252" spans="1:24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1"/>
      <c r="R252" s="1"/>
      <c r="S252" s="1"/>
      <c r="T252" s="1"/>
      <c r="U252" s="1"/>
      <c r="V252" s="1"/>
      <c r="W252" s="1"/>
      <c r="X252" s="1"/>
    </row>
    <row r="253" spans="1:24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1"/>
      <c r="R253" s="1"/>
      <c r="S253" s="1"/>
      <c r="T253" s="1"/>
      <c r="U253" s="1"/>
      <c r="V253" s="1"/>
      <c r="W253" s="1"/>
      <c r="X253" s="1"/>
    </row>
    <row r="254" spans="1:24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1"/>
      <c r="R254" s="1"/>
      <c r="S254" s="1"/>
      <c r="T254" s="1"/>
      <c r="U254" s="1"/>
      <c r="V254" s="1"/>
      <c r="W254" s="1"/>
      <c r="X254" s="1"/>
    </row>
    <row r="255" spans="1:24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1"/>
      <c r="R255" s="1"/>
      <c r="S255" s="1"/>
      <c r="T255" s="1"/>
      <c r="U255" s="1"/>
      <c r="V255" s="1"/>
      <c r="W255" s="1"/>
      <c r="X255" s="1"/>
    </row>
    <row r="256" spans="1:24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1"/>
      <c r="R256" s="1"/>
      <c r="S256" s="1"/>
      <c r="T256" s="1"/>
      <c r="U256" s="1"/>
      <c r="V256" s="1"/>
      <c r="W256" s="1"/>
      <c r="X256" s="1"/>
    </row>
    <row r="257" spans="1:24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1"/>
      <c r="R257" s="1"/>
      <c r="S257" s="1"/>
      <c r="T257" s="1"/>
      <c r="U257" s="1"/>
      <c r="V257" s="1"/>
      <c r="W257" s="1"/>
      <c r="X257" s="1"/>
    </row>
    <row r="258" spans="1:24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1"/>
      <c r="R258" s="1"/>
      <c r="S258" s="1"/>
      <c r="T258" s="1"/>
      <c r="U258" s="1"/>
      <c r="V258" s="1"/>
      <c r="W258" s="1"/>
      <c r="X258" s="1"/>
    </row>
    <row r="259" spans="1:24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1"/>
      <c r="R259" s="1"/>
      <c r="S259" s="1"/>
      <c r="T259" s="1"/>
      <c r="U259" s="1"/>
      <c r="V259" s="1"/>
      <c r="W259" s="1"/>
      <c r="X259" s="1"/>
    </row>
    <row r="260" spans="1:24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1"/>
      <c r="R260" s="1"/>
      <c r="S260" s="1"/>
      <c r="T260" s="1"/>
      <c r="U260" s="1"/>
      <c r="V260" s="1"/>
      <c r="W260" s="1"/>
      <c r="X260" s="1"/>
    </row>
    <row r="261" spans="1:24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1"/>
      <c r="R261" s="1"/>
      <c r="S261" s="1"/>
      <c r="T261" s="1"/>
      <c r="U261" s="1"/>
      <c r="V261" s="1"/>
      <c r="W261" s="1"/>
      <c r="X261" s="1"/>
    </row>
    <row r="262" spans="1:24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1"/>
      <c r="R262" s="1"/>
      <c r="S262" s="1"/>
      <c r="T262" s="1"/>
      <c r="U262" s="1"/>
      <c r="V262" s="1"/>
      <c r="W262" s="1"/>
      <c r="X262" s="1"/>
    </row>
    <row r="263" spans="1:24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1"/>
      <c r="R263" s="1"/>
      <c r="S263" s="1"/>
      <c r="T263" s="1"/>
      <c r="U263" s="1"/>
      <c r="V263" s="1"/>
      <c r="W263" s="1"/>
      <c r="X263" s="1"/>
    </row>
    <row r="264" spans="1:24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1"/>
      <c r="R264" s="1"/>
      <c r="S264" s="1"/>
      <c r="T264" s="1"/>
      <c r="U264" s="1"/>
      <c r="V264" s="1"/>
      <c r="W264" s="1"/>
      <c r="X264" s="1"/>
    </row>
    <row r="265" spans="1:24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1"/>
      <c r="R265" s="1"/>
      <c r="S265" s="1"/>
      <c r="T265" s="1"/>
      <c r="U265" s="1"/>
      <c r="V265" s="1"/>
      <c r="W265" s="1"/>
      <c r="X265" s="1"/>
    </row>
    <row r="266" spans="1:24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1"/>
      <c r="R266" s="1"/>
      <c r="S266" s="1"/>
      <c r="T266" s="1"/>
      <c r="U266" s="1"/>
      <c r="V266" s="1"/>
      <c r="W266" s="1"/>
      <c r="X266" s="1"/>
    </row>
    <row r="267" spans="1:24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1"/>
      <c r="R267" s="1"/>
      <c r="S267" s="1"/>
      <c r="T267" s="1"/>
      <c r="U267" s="1"/>
      <c r="V267" s="1"/>
      <c r="W267" s="1"/>
      <c r="X267" s="1"/>
    </row>
    <row r="268" spans="1:24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1"/>
      <c r="R268" s="1"/>
      <c r="S268" s="1"/>
      <c r="T268" s="1"/>
      <c r="U268" s="1"/>
      <c r="V268" s="1"/>
      <c r="W268" s="1"/>
      <c r="X268" s="1"/>
    </row>
    <row r="269" spans="1:24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1"/>
      <c r="R269" s="1"/>
      <c r="S269" s="1"/>
      <c r="T269" s="1"/>
      <c r="U269" s="1"/>
      <c r="V269" s="1"/>
      <c r="W269" s="1"/>
      <c r="X269" s="1"/>
    </row>
    <row r="270" spans="1:24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1"/>
      <c r="R270" s="1"/>
      <c r="S270" s="1"/>
      <c r="T270" s="1"/>
      <c r="U270" s="1"/>
      <c r="V270" s="1"/>
      <c r="W270" s="1"/>
      <c r="X270" s="1"/>
    </row>
    <row r="271" spans="1:24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1"/>
      <c r="R271" s="1"/>
      <c r="S271" s="1"/>
      <c r="T271" s="1"/>
      <c r="U271" s="1"/>
      <c r="V271" s="1"/>
      <c r="W271" s="1"/>
      <c r="X271" s="1"/>
    </row>
    <row r="272" spans="1:24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1"/>
      <c r="R272" s="1"/>
      <c r="S272" s="1"/>
      <c r="T272" s="1"/>
      <c r="U272" s="1"/>
      <c r="V272" s="1"/>
      <c r="W272" s="1"/>
      <c r="X272" s="1"/>
    </row>
    <row r="273" spans="1:24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1"/>
      <c r="R273" s="1"/>
      <c r="S273" s="1"/>
      <c r="T273" s="1"/>
      <c r="U273" s="1"/>
      <c r="V273" s="1"/>
      <c r="W273" s="1"/>
      <c r="X273" s="1"/>
    </row>
    <row r="274" spans="1:24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1"/>
      <c r="R274" s="1"/>
      <c r="S274" s="1"/>
      <c r="T274" s="1"/>
      <c r="U274" s="1"/>
      <c r="V274" s="1"/>
      <c r="W274" s="1"/>
      <c r="X274" s="1"/>
    </row>
    <row r="275" spans="1:24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1"/>
      <c r="R275" s="1"/>
      <c r="S275" s="1"/>
      <c r="T275" s="1"/>
      <c r="U275" s="1"/>
      <c r="V275" s="1"/>
      <c r="W275" s="1"/>
      <c r="X275" s="1"/>
    </row>
    <row r="276" spans="1:24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1"/>
      <c r="R276" s="1"/>
      <c r="S276" s="1"/>
      <c r="T276" s="1"/>
      <c r="U276" s="1"/>
      <c r="V276" s="1"/>
      <c r="W276" s="1"/>
      <c r="X276" s="1"/>
    </row>
    <row r="277" spans="1:24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1"/>
      <c r="R277" s="1"/>
      <c r="S277" s="1"/>
      <c r="T277" s="1"/>
      <c r="U277" s="1"/>
      <c r="V277" s="1"/>
      <c r="W277" s="1"/>
      <c r="X277" s="1"/>
    </row>
    <row r="278" spans="1:24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1"/>
      <c r="R278" s="1"/>
      <c r="S278" s="1"/>
      <c r="T278" s="1"/>
      <c r="U278" s="1"/>
      <c r="V278" s="1"/>
      <c r="W278" s="1"/>
      <c r="X278" s="1"/>
    </row>
    <row r="279" spans="1:24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1"/>
      <c r="R279" s="1"/>
      <c r="S279" s="1"/>
      <c r="T279" s="1"/>
      <c r="U279" s="1"/>
      <c r="V279" s="1"/>
      <c r="W279" s="1"/>
      <c r="X279" s="1"/>
    </row>
    <row r="280" spans="1:24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1"/>
      <c r="R280" s="1"/>
      <c r="S280" s="1"/>
      <c r="T280" s="1"/>
      <c r="U280" s="1"/>
      <c r="V280" s="1"/>
      <c r="W280" s="1"/>
      <c r="X280" s="1"/>
    </row>
    <row r="281" spans="1:24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1"/>
      <c r="R281" s="1"/>
      <c r="S281" s="1"/>
      <c r="T281" s="1"/>
      <c r="U281" s="1"/>
      <c r="V281" s="1"/>
      <c r="W281" s="1"/>
      <c r="X281" s="1"/>
    </row>
    <row r="282" spans="1:24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1"/>
      <c r="R282" s="1"/>
      <c r="S282" s="1"/>
      <c r="T282" s="1"/>
      <c r="U282" s="1"/>
      <c r="V282" s="1"/>
      <c r="W282" s="1"/>
      <c r="X282" s="1"/>
    </row>
    <row r="283" spans="1:24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1"/>
      <c r="R283" s="1"/>
      <c r="S283" s="1"/>
      <c r="T283" s="1"/>
      <c r="U283" s="1"/>
      <c r="V283" s="1"/>
      <c r="W283" s="1"/>
      <c r="X283" s="1"/>
    </row>
    <row r="284" spans="1:24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1"/>
      <c r="R284" s="1"/>
      <c r="S284" s="1"/>
      <c r="T284" s="1"/>
      <c r="U284" s="1"/>
      <c r="V284" s="1"/>
      <c r="W284" s="1"/>
      <c r="X284" s="1"/>
    </row>
    <row r="285" spans="1:24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1"/>
      <c r="R285" s="1"/>
      <c r="S285" s="1"/>
      <c r="T285" s="1"/>
      <c r="U285" s="1"/>
      <c r="V285" s="1"/>
      <c r="W285" s="1"/>
      <c r="X285" s="1"/>
    </row>
    <row r="286" spans="1:24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1"/>
      <c r="R286" s="1"/>
      <c r="S286" s="1"/>
      <c r="T286" s="1"/>
      <c r="U286" s="1"/>
      <c r="V286" s="1"/>
      <c r="W286" s="1"/>
      <c r="X286" s="1"/>
    </row>
    <row r="287" spans="1:24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1"/>
      <c r="R287" s="1"/>
      <c r="S287" s="1"/>
      <c r="T287" s="1"/>
      <c r="U287" s="1"/>
      <c r="V287" s="1"/>
      <c r="W287" s="1"/>
      <c r="X287" s="1"/>
    </row>
    <row r="288" spans="1:24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1"/>
      <c r="R288" s="1"/>
      <c r="S288" s="1"/>
      <c r="T288" s="1"/>
      <c r="U288" s="1"/>
      <c r="V288" s="1"/>
      <c r="W288" s="1"/>
      <c r="X288" s="1"/>
    </row>
    <row r="289" spans="1:24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1"/>
      <c r="R289" s="1"/>
      <c r="S289" s="1"/>
      <c r="T289" s="1"/>
      <c r="U289" s="1"/>
      <c r="V289" s="1"/>
      <c r="W289" s="1"/>
      <c r="X289" s="1"/>
    </row>
    <row r="290" spans="1:24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1"/>
      <c r="R290" s="1"/>
      <c r="S290" s="1"/>
      <c r="T290" s="1"/>
      <c r="U290" s="1"/>
      <c r="V290" s="1"/>
      <c r="W290" s="1"/>
      <c r="X290" s="1"/>
    </row>
    <row r="291" spans="1:24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1"/>
      <c r="R291" s="1"/>
      <c r="S291" s="1"/>
      <c r="T291" s="1"/>
      <c r="U291" s="1"/>
      <c r="V291" s="1"/>
      <c r="W291" s="1"/>
      <c r="X291" s="1"/>
    </row>
    <row r="292" spans="1:24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1"/>
      <c r="R292" s="1"/>
      <c r="S292" s="1"/>
      <c r="T292" s="1"/>
      <c r="U292" s="1"/>
      <c r="V292" s="1"/>
      <c r="W292" s="1"/>
      <c r="X292" s="1"/>
    </row>
    <row r="293" spans="1:24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1"/>
      <c r="R293" s="1"/>
      <c r="S293" s="1"/>
      <c r="T293" s="1"/>
      <c r="U293" s="1"/>
      <c r="V293" s="1"/>
      <c r="W293" s="1"/>
      <c r="X293" s="1"/>
    </row>
    <row r="294" spans="1:24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1"/>
      <c r="R294" s="1"/>
      <c r="S294" s="1"/>
      <c r="T294" s="1"/>
      <c r="U294" s="1"/>
      <c r="V294" s="1"/>
      <c r="W294" s="1"/>
      <c r="X294" s="1"/>
    </row>
    <row r="295" spans="1:24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1"/>
      <c r="R295" s="1"/>
      <c r="S295" s="1"/>
      <c r="T295" s="1"/>
      <c r="U295" s="1"/>
      <c r="V295" s="1"/>
      <c r="W295" s="1"/>
      <c r="X295" s="1"/>
    </row>
    <row r="296" spans="1:24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1"/>
      <c r="R296" s="1"/>
      <c r="S296" s="1"/>
      <c r="T296" s="1"/>
      <c r="U296" s="1"/>
      <c r="V296" s="1"/>
      <c r="W296" s="1"/>
      <c r="X296" s="1"/>
    </row>
    <row r="297" spans="1:24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1"/>
      <c r="R297" s="1"/>
      <c r="S297" s="1"/>
      <c r="T297" s="1"/>
      <c r="U297" s="1"/>
      <c r="V297" s="1"/>
      <c r="W297" s="1"/>
      <c r="X297" s="1"/>
    </row>
    <row r="298" spans="1:24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1"/>
      <c r="R298" s="1"/>
      <c r="S298" s="1"/>
      <c r="T298" s="1"/>
      <c r="U298" s="1"/>
      <c r="V298" s="1"/>
      <c r="W298" s="1"/>
      <c r="X298" s="1"/>
    </row>
    <row r="299" spans="1:24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1"/>
      <c r="R299" s="1"/>
      <c r="S299" s="1"/>
      <c r="T299" s="1"/>
      <c r="U299" s="1"/>
      <c r="V299" s="1"/>
      <c r="W299" s="1"/>
      <c r="X299" s="1"/>
    </row>
    <row r="300" spans="1:24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1"/>
      <c r="R300" s="1"/>
      <c r="S300" s="1"/>
      <c r="T300" s="1"/>
      <c r="U300" s="1"/>
      <c r="V300" s="1"/>
      <c r="W300" s="1"/>
      <c r="X300" s="1"/>
    </row>
    <row r="301" spans="1:24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1"/>
      <c r="R301" s="1"/>
      <c r="S301" s="1"/>
      <c r="T301" s="1"/>
      <c r="U301" s="1"/>
      <c r="V301" s="1"/>
      <c r="W301" s="1"/>
      <c r="X301" s="1"/>
    </row>
    <row r="302" spans="1:24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1"/>
      <c r="R302" s="1"/>
      <c r="S302" s="1"/>
      <c r="T302" s="1"/>
      <c r="U302" s="1"/>
      <c r="V302" s="1"/>
      <c r="W302" s="1"/>
      <c r="X302" s="1"/>
    </row>
    <row r="303" spans="1:24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1"/>
      <c r="R303" s="1"/>
      <c r="S303" s="1"/>
      <c r="T303" s="1"/>
      <c r="U303" s="1"/>
      <c r="V303" s="1"/>
      <c r="W303" s="1"/>
      <c r="X303" s="1"/>
    </row>
    <row r="304" spans="1:24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1"/>
      <c r="R304" s="1"/>
      <c r="S304" s="1"/>
      <c r="T304" s="1"/>
      <c r="U304" s="1"/>
      <c r="V304" s="1"/>
      <c r="W304" s="1"/>
      <c r="X304" s="1"/>
    </row>
    <row r="305" spans="1:24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1"/>
      <c r="R305" s="1"/>
      <c r="S305" s="1"/>
      <c r="T305" s="1"/>
      <c r="U305" s="1"/>
      <c r="V305" s="1"/>
      <c r="W305" s="1"/>
      <c r="X305" s="1"/>
    </row>
    <row r="306" spans="1:24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1"/>
      <c r="R306" s="1"/>
      <c r="S306" s="1"/>
      <c r="T306" s="1"/>
      <c r="U306" s="1"/>
      <c r="V306" s="1"/>
      <c r="W306" s="1"/>
      <c r="X306" s="1"/>
    </row>
    <row r="307" spans="1:24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1"/>
      <c r="R307" s="1"/>
      <c r="S307" s="1"/>
      <c r="T307" s="1"/>
      <c r="U307" s="1"/>
      <c r="V307" s="1"/>
      <c r="W307" s="1"/>
      <c r="X307" s="1"/>
    </row>
    <row r="308" spans="1:24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1"/>
      <c r="R308" s="1"/>
      <c r="S308" s="1"/>
      <c r="T308" s="1"/>
      <c r="U308" s="1"/>
      <c r="V308" s="1"/>
      <c r="W308" s="1"/>
      <c r="X308" s="1"/>
    </row>
    <row r="309" spans="1:24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1"/>
      <c r="R309" s="1"/>
      <c r="S309" s="1"/>
      <c r="T309" s="1"/>
      <c r="U309" s="1"/>
      <c r="V309" s="1"/>
      <c r="W309" s="1"/>
      <c r="X309" s="1"/>
    </row>
    <row r="310" spans="1:24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1"/>
      <c r="R310" s="1"/>
      <c r="S310" s="1"/>
      <c r="T310" s="1"/>
      <c r="U310" s="1"/>
      <c r="V310" s="1"/>
      <c r="W310" s="1"/>
      <c r="X310" s="1"/>
    </row>
    <row r="311" spans="1:24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1"/>
      <c r="R311" s="1"/>
      <c r="S311" s="1"/>
      <c r="T311" s="1"/>
      <c r="U311" s="1"/>
      <c r="V311" s="1"/>
      <c r="W311" s="1"/>
      <c r="X311" s="1"/>
    </row>
    <row r="312" spans="1:24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1"/>
      <c r="R312" s="1"/>
      <c r="S312" s="1"/>
      <c r="T312" s="1"/>
      <c r="U312" s="1"/>
      <c r="V312" s="1"/>
      <c r="W312" s="1"/>
      <c r="X312" s="1"/>
    </row>
    <row r="313" spans="1:24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1"/>
      <c r="R313" s="1"/>
      <c r="S313" s="1"/>
      <c r="T313" s="1"/>
      <c r="U313" s="1"/>
      <c r="V313" s="1"/>
      <c r="W313" s="1"/>
      <c r="X313" s="1"/>
    </row>
    <row r="314" spans="1:24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1"/>
      <c r="R314" s="1"/>
      <c r="S314" s="1"/>
      <c r="T314" s="1"/>
      <c r="U314" s="1"/>
      <c r="V314" s="1"/>
      <c r="W314" s="1"/>
      <c r="X314" s="1"/>
    </row>
    <row r="315" spans="1:24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1"/>
      <c r="R315" s="1"/>
      <c r="S315" s="1"/>
      <c r="T315" s="1"/>
      <c r="U315" s="1"/>
      <c r="V315" s="1"/>
      <c r="W315" s="1"/>
      <c r="X315" s="1"/>
    </row>
    <row r="316" spans="1:24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1"/>
      <c r="R316" s="1"/>
      <c r="S316" s="1"/>
      <c r="T316" s="1"/>
      <c r="U316" s="1"/>
      <c r="V316" s="1"/>
      <c r="W316" s="1"/>
      <c r="X316" s="1"/>
    </row>
    <row r="317" spans="1:24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1"/>
      <c r="R317" s="1"/>
      <c r="S317" s="1"/>
      <c r="T317" s="1"/>
      <c r="U317" s="1"/>
      <c r="V317" s="1"/>
      <c r="W317" s="1"/>
      <c r="X317" s="1"/>
    </row>
    <row r="318" spans="1:24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1"/>
      <c r="R318" s="1"/>
      <c r="S318" s="1"/>
      <c r="T318" s="1"/>
      <c r="U318" s="1"/>
      <c r="V318" s="1"/>
      <c r="W318" s="1"/>
      <c r="X318" s="1"/>
    </row>
    <row r="319" spans="1:24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1"/>
      <c r="R319" s="1"/>
      <c r="S319" s="1"/>
      <c r="T319" s="1"/>
      <c r="U319" s="1"/>
      <c r="V319" s="1"/>
      <c r="W319" s="1"/>
      <c r="X319" s="1"/>
    </row>
    <row r="320" spans="1:24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1"/>
      <c r="R320" s="1"/>
      <c r="S320" s="1"/>
      <c r="T320" s="1"/>
      <c r="U320" s="1"/>
      <c r="V320" s="1"/>
      <c r="W320" s="1"/>
      <c r="X320" s="1"/>
    </row>
    <row r="321" spans="1:24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1"/>
      <c r="R321" s="1"/>
      <c r="S321" s="1"/>
      <c r="T321" s="1"/>
      <c r="U321" s="1"/>
      <c r="V321" s="1"/>
      <c r="W321" s="1"/>
      <c r="X321" s="1"/>
    </row>
    <row r="322" spans="1:24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1"/>
      <c r="R322" s="1"/>
      <c r="S322" s="1"/>
      <c r="T322" s="1"/>
      <c r="U322" s="1"/>
      <c r="V322" s="1"/>
      <c r="W322" s="1"/>
      <c r="X322" s="1"/>
    </row>
    <row r="323" spans="1:24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1"/>
      <c r="R323" s="1"/>
      <c r="S323" s="1"/>
      <c r="T323" s="1"/>
      <c r="U323" s="1"/>
      <c r="V323" s="1"/>
      <c r="W323" s="1"/>
      <c r="X323" s="1"/>
    </row>
    <row r="324" spans="1:24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1"/>
      <c r="R324" s="1"/>
      <c r="S324" s="1"/>
      <c r="T324" s="1"/>
      <c r="U324" s="1"/>
      <c r="V324" s="1"/>
      <c r="W324" s="1"/>
      <c r="X324" s="1"/>
    </row>
    <row r="325" spans="1:24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1"/>
      <c r="R325" s="1"/>
      <c r="S325" s="1"/>
      <c r="T325" s="1"/>
      <c r="U325" s="1"/>
      <c r="V325" s="1"/>
      <c r="W325" s="1"/>
      <c r="X325" s="1"/>
    </row>
    <row r="326" spans="1:24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1"/>
      <c r="R326" s="1"/>
      <c r="S326" s="1"/>
      <c r="T326" s="1"/>
      <c r="U326" s="1"/>
      <c r="V326" s="1"/>
      <c r="W326" s="1"/>
    </row>
    <row r="327" spans="1:24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1"/>
      <c r="R327" s="1"/>
      <c r="S327" s="1"/>
      <c r="T327" s="1"/>
      <c r="U327" s="1"/>
      <c r="V327" s="1"/>
      <c r="W327" s="1"/>
    </row>
    <row r="328" spans="1:24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1"/>
      <c r="R328" s="1"/>
      <c r="S328" s="1"/>
      <c r="T328" s="1"/>
      <c r="U328" s="1"/>
      <c r="V328" s="1"/>
      <c r="W328" s="1"/>
    </row>
    <row r="329" spans="1:24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1"/>
      <c r="R329" s="1"/>
      <c r="S329" s="1"/>
      <c r="T329" s="1"/>
      <c r="U329" s="1"/>
      <c r="V329" s="1"/>
      <c r="W329" s="1"/>
    </row>
    <row r="330" spans="1:24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1"/>
      <c r="R330" s="1"/>
      <c r="S330" s="1"/>
      <c r="T330" s="1"/>
      <c r="U330" s="1"/>
      <c r="V330" s="1"/>
      <c r="W330" s="1"/>
    </row>
    <row r="331" spans="1:24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1"/>
      <c r="R331" s="1"/>
      <c r="S331" s="1"/>
      <c r="T331" s="1"/>
      <c r="U331" s="1"/>
      <c r="V331" s="1"/>
      <c r="W331" s="1"/>
    </row>
    <row r="332" spans="1:24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1"/>
      <c r="R332" s="1"/>
      <c r="S332" s="1"/>
      <c r="T332" s="1"/>
      <c r="U332" s="1"/>
      <c r="V332" s="1"/>
      <c r="W332" s="1"/>
    </row>
    <row r="333" spans="1:24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1"/>
      <c r="R333" s="1"/>
      <c r="S333" s="1"/>
      <c r="T333" s="1"/>
      <c r="U333" s="1"/>
      <c r="V333" s="1"/>
      <c r="W333" s="1"/>
    </row>
    <row r="334" spans="1:24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1"/>
      <c r="R334" s="1"/>
      <c r="S334" s="1"/>
      <c r="T334" s="1"/>
      <c r="U334" s="1"/>
      <c r="V334" s="1"/>
      <c r="W334" s="1"/>
    </row>
    <row r="335" spans="1:24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1"/>
      <c r="R335" s="1"/>
      <c r="S335" s="1"/>
      <c r="T335" s="1"/>
      <c r="U335" s="1"/>
      <c r="V335" s="1"/>
      <c r="W335" s="1"/>
    </row>
    <row r="336" spans="1:24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1"/>
      <c r="R336" s="1"/>
      <c r="S336" s="1"/>
      <c r="T336" s="1"/>
      <c r="U336" s="1"/>
      <c r="V336" s="1"/>
      <c r="W336" s="1"/>
    </row>
    <row r="337" spans="1:23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1"/>
      <c r="R337" s="1"/>
      <c r="S337" s="1"/>
      <c r="T337" s="1"/>
      <c r="U337" s="1"/>
      <c r="V337" s="1"/>
      <c r="W337" s="1"/>
    </row>
    <row r="338" spans="1:23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1"/>
      <c r="R338" s="1"/>
      <c r="S338" s="1"/>
      <c r="T338" s="1"/>
      <c r="U338" s="1"/>
      <c r="V338" s="1"/>
      <c r="W338" s="1"/>
    </row>
    <row r="339" spans="1:23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1"/>
      <c r="R339" s="1"/>
      <c r="S339" s="1"/>
      <c r="T339" s="1"/>
      <c r="U339" s="1"/>
      <c r="V339" s="1"/>
      <c r="W339" s="1"/>
    </row>
    <row r="340" spans="1:23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1"/>
      <c r="R340" s="1"/>
      <c r="S340" s="1"/>
      <c r="T340" s="1"/>
      <c r="U340" s="1"/>
      <c r="V340" s="1"/>
      <c r="W340" s="1"/>
    </row>
    <row r="341" spans="1:23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1"/>
      <c r="R341" s="1"/>
      <c r="S341" s="1"/>
      <c r="T341" s="1"/>
      <c r="U341" s="1"/>
      <c r="V341" s="1"/>
      <c r="W341" s="1"/>
    </row>
    <row r="342" spans="1:23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1"/>
      <c r="R342" s="1"/>
      <c r="S342" s="1"/>
      <c r="T342" s="1"/>
      <c r="U342" s="1"/>
      <c r="V342" s="1"/>
      <c r="W342" s="1"/>
    </row>
    <row r="343" spans="1:23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1"/>
      <c r="R343" s="1"/>
      <c r="S343" s="1"/>
      <c r="T343" s="1"/>
      <c r="U343" s="1"/>
      <c r="V343" s="1"/>
      <c r="W343" s="1"/>
    </row>
    <row r="344" spans="1:23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1"/>
      <c r="R344" s="1"/>
      <c r="S344" s="1"/>
      <c r="T344" s="1"/>
      <c r="U344" s="1"/>
      <c r="V344" s="1"/>
      <c r="W344" s="1"/>
    </row>
    <row r="345" spans="1:23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1"/>
      <c r="R345" s="1"/>
      <c r="S345" s="1"/>
      <c r="T345" s="1"/>
      <c r="U345" s="1"/>
      <c r="V345" s="1"/>
      <c r="W345" s="1"/>
    </row>
    <row r="346" spans="1:23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1"/>
      <c r="R346" s="1"/>
      <c r="S346" s="1"/>
      <c r="T346" s="1"/>
      <c r="U346" s="1"/>
      <c r="V346" s="1"/>
      <c r="W346" s="1"/>
    </row>
    <row r="347" spans="1:23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1"/>
      <c r="R347" s="1"/>
      <c r="S347" s="1"/>
      <c r="T347" s="1"/>
      <c r="U347" s="1"/>
      <c r="V347" s="1"/>
      <c r="W347" s="1"/>
    </row>
    <row r="348" spans="1:23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1"/>
      <c r="R348" s="1"/>
      <c r="S348" s="1"/>
      <c r="T348" s="1"/>
      <c r="U348" s="1"/>
      <c r="V348" s="1"/>
      <c r="W348" s="1"/>
    </row>
    <row r="349" spans="1:23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1"/>
      <c r="R349" s="1"/>
      <c r="S349" s="1"/>
      <c r="T349" s="1"/>
      <c r="U349" s="1"/>
      <c r="V349" s="1"/>
      <c r="W349" s="1"/>
    </row>
    <row r="350" spans="1:23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1"/>
      <c r="R350" s="1"/>
      <c r="S350" s="1"/>
      <c r="T350" s="1"/>
      <c r="U350" s="1"/>
      <c r="V350" s="1"/>
      <c r="W350" s="1"/>
    </row>
    <row r="351" spans="1:23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1"/>
      <c r="R351" s="1"/>
      <c r="S351" s="1"/>
      <c r="T351" s="1"/>
      <c r="U351" s="1"/>
      <c r="V351" s="1"/>
      <c r="W351" s="1"/>
    </row>
    <row r="352" spans="1:23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1"/>
      <c r="R352" s="1"/>
      <c r="S352" s="1"/>
      <c r="T352" s="1"/>
      <c r="U352" s="1"/>
      <c r="V352" s="1"/>
      <c r="W352" s="1"/>
    </row>
    <row r="353" spans="1:23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1"/>
      <c r="R353" s="1"/>
      <c r="S353" s="1"/>
      <c r="T353" s="1"/>
      <c r="U353" s="1"/>
      <c r="V353" s="1"/>
      <c r="W353" s="1"/>
    </row>
    <row r="354" spans="1:23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1"/>
      <c r="R354" s="1"/>
      <c r="S354" s="1"/>
      <c r="T354" s="1"/>
      <c r="U354" s="1"/>
      <c r="V354" s="1"/>
      <c r="W354" s="1"/>
    </row>
    <row r="355" spans="1:23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1"/>
      <c r="R355" s="1"/>
      <c r="S355" s="1"/>
      <c r="T355" s="1"/>
      <c r="U355" s="1"/>
      <c r="V355" s="1"/>
      <c r="W355" s="1"/>
    </row>
    <row r="356" spans="1:23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1"/>
      <c r="R356" s="1"/>
      <c r="S356" s="1"/>
      <c r="T356" s="1"/>
      <c r="U356" s="1"/>
      <c r="V356" s="1"/>
      <c r="W356" s="1"/>
    </row>
    <row r="357" spans="1:23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1"/>
      <c r="R357" s="1"/>
      <c r="S357" s="1"/>
      <c r="T357" s="1"/>
      <c r="U357" s="1"/>
      <c r="V357" s="1"/>
      <c r="W357" s="1"/>
    </row>
    <row r="358" spans="1:23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1"/>
      <c r="R358" s="1"/>
      <c r="S358" s="1"/>
      <c r="T358" s="1"/>
      <c r="U358" s="1"/>
      <c r="V358" s="1"/>
      <c r="W358" s="1"/>
    </row>
    <row r="359" spans="1:23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1"/>
      <c r="R359" s="1"/>
      <c r="S359" s="1"/>
      <c r="T359" s="1"/>
      <c r="U359" s="1"/>
      <c r="V359" s="1"/>
      <c r="W359" s="1"/>
    </row>
    <row r="360" spans="1:23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1"/>
      <c r="R360" s="1"/>
      <c r="S360" s="1"/>
      <c r="T360" s="1"/>
      <c r="U360" s="1"/>
      <c r="V360" s="1"/>
      <c r="W360" s="1"/>
    </row>
    <row r="361" spans="1:23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1"/>
      <c r="R361" s="1"/>
      <c r="S361" s="1"/>
      <c r="T361" s="1"/>
      <c r="U361" s="1"/>
      <c r="V361" s="1"/>
      <c r="W361" s="1"/>
    </row>
    <row r="362" spans="1:23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1"/>
      <c r="R362" s="1"/>
      <c r="S362" s="1"/>
      <c r="T362" s="1"/>
      <c r="U362" s="1"/>
      <c r="V362" s="1"/>
      <c r="W362" s="1"/>
    </row>
    <row r="363" spans="1:23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1"/>
      <c r="R363" s="1"/>
      <c r="S363" s="1"/>
      <c r="T363" s="1"/>
      <c r="U363" s="1"/>
      <c r="V363" s="1"/>
      <c r="W363" s="1"/>
    </row>
    <row r="364" spans="1:23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1"/>
      <c r="R364" s="1"/>
      <c r="S364" s="1"/>
      <c r="T364" s="1"/>
      <c r="U364" s="1"/>
      <c r="V364" s="1"/>
      <c r="W364" s="1"/>
    </row>
    <row r="365" spans="1:23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1"/>
      <c r="R365" s="1"/>
      <c r="S365" s="1"/>
      <c r="T365" s="1"/>
      <c r="U365" s="1"/>
      <c r="V365" s="1"/>
      <c r="W365" s="1"/>
    </row>
    <row r="366" spans="1:23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1"/>
      <c r="R366" s="1"/>
      <c r="S366" s="1"/>
      <c r="T366" s="1"/>
      <c r="U366" s="1"/>
      <c r="V366" s="1"/>
      <c r="W366" s="1"/>
    </row>
    <row r="367" spans="1:23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1"/>
      <c r="R367" s="1"/>
      <c r="S367" s="1"/>
      <c r="T367" s="1"/>
      <c r="U367" s="1"/>
      <c r="V367" s="1"/>
      <c r="W367" s="1"/>
    </row>
    <row r="368" spans="1:23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1"/>
      <c r="R368" s="1"/>
      <c r="S368" s="1"/>
      <c r="T368" s="1"/>
      <c r="U368" s="1"/>
      <c r="V368" s="1"/>
      <c r="W368" s="1"/>
    </row>
    <row r="369" spans="1:23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1"/>
      <c r="R369" s="1"/>
      <c r="S369" s="1"/>
      <c r="T369" s="1"/>
      <c r="U369" s="1"/>
      <c r="V369" s="1"/>
      <c r="W369" s="1"/>
    </row>
    <row r="370" spans="1:23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1"/>
      <c r="R370" s="1"/>
      <c r="S370" s="1"/>
      <c r="T370" s="1"/>
      <c r="U370" s="1"/>
      <c r="V370" s="1"/>
      <c r="W370" s="1"/>
    </row>
    <row r="371" spans="1:23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1"/>
      <c r="R371" s="1"/>
      <c r="S371" s="1"/>
      <c r="T371" s="1"/>
      <c r="U371" s="1"/>
      <c r="V371" s="1"/>
      <c r="W371" s="1"/>
    </row>
    <row r="372" spans="1:23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1"/>
      <c r="R372" s="1"/>
      <c r="S372" s="1"/>
      <c r="T372" s="1"/>
      <c r="U372" s="1"/>
      <c r="V372" s="1"/>
      <c r="W372" s="1"/>
    </row>
    <row r="373" spans="1:23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1"/>
      <c r="R373" s="1"/>
      <c r="S373" s="1"/>
      <c r="T373" s="1"/>
      <c r="U373" s="1"/>
      <c r="V373" s="1"/>
      <c r="W373" s="1"/>
    </row>
    <row r="374" spans="1:23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1"/>
      <c r="R374" s="1"/>
      <c r="S374" s="1"/>
      <c r="T374" s="1"/>
      <c r="U374" s="1"/>
      <c r="V374" s="1"/>
      <c r="W374" s="1"/>
    </row>
    <row r="375" spans="1:23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1"/>
      <c r="R375" s="1"/>
      <c r="S375" s="1"/>
      <c r="T375" s="1"/>
      <c r="U375" s="1"/>
      <c r="V375" s="1"/>
      <c r="W375" s="1"/>
    </row>
    <row r="376" spans="1:23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1"/>
      <c r="R376" s="1"/>
      <c r="S376" s="1"/>
      <c r="T376" s="1"/>
      <c r="U376" s="1"/>
      <c r="V376" s="1"/>
      <c r="W376" s="1"/>
    </row>
    <row r="377" spans="1:23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1"/>
      <c r="R377" s="1"/>
      <c r="S377" s="1"/>
      <c r="T377" s="1"/>
      <c r="U377" s="1"/>
      <c r="V377" s="1"/>
      <c r="W377" s="1"/>
    </row>
    <row r="378" spans="1:23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1"/>
      <c r="R378" s="1"/>
      <c r="S378" s="1"/>
      <c r="T378" s="1"/>
      <c r="U378" s="1"/>
      <c r="V378" s="1"/>
      <c r="W378" s="1"/>
    </row>
    <row r="379" spans="1:23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1"/>
      <c r="R379" s="1"/>
      <c r="S379" s="1"/>
      <c r="T379" s="1"/>
      <c r="U379" s="1"/>
      <c r="V379" s="1"/>
      <c r="W379" s="1"/>
    </row>
    <row r="380" spans="1:23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1"/>
      <c r="R380" s="1"/>
      <c r="S380" s="1"/>
      <c r="T380" s="1"/>
      <c r="U380" s="1"/>
      <c r="V380" s="1"/>
      <c r="W380" s="1"/>
    </row>
    <row r="381" spans="1:23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1"/>
      <c r="R381" s="1"/>
      <c r="S381" s="1"/>
      <c r="T381" s="1"/>
      <c r="U381" s="1"/>
      <c r="V381" s="1"/>
      <c r="W381" s="1"/>
    </row>
    <row r="382" spans="1:23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1"/>
      <c r="R382" s="1"/>
      <c r="S382" s="1"/>
      <c r="T382" s="1"/>
      <c r="U382" s="1"/>
      <c r="V382" s="1"/>
      <c r="W382" s="1"/>
    </row>
    <row r="383" spans="1:23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1"/>
      <c r="R383" s="1"/>
      <c r="S383" s="1"/>
      <c r="T383" s="1"/>
      <c r="U383" s="1"/>
      <c r="V383" s="1"/>
      <c r="W383" s="1"/>
    </row>
    <row r="384" spans="1:23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1"/>
      <c r="R384" s="1"/>
      <c r="S384" s="1"/>
      <c r="T384" s="1"/>
      <c r="U384" s="1"/>
      <c r="V384" s="1"/>
      <c r="W384" s="1"/>
    </row>
    <row r="385" spans="1:23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1"/>
      <c r="R385" s="1"/>
      <c r="S385" s="1"/>
      <c r="T385" s="1"/>
      <c r="U385" s="1"/>
      <c r="V385" s="1"/>
      <c r="W385" s="1"/>
    </row>
    <row r="386" spans="1:23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1"/>
      <c r="R386" s="1"/>
      <c r="S386" s="1"/>
      <c r="T386" s="1"/>
      <c r="U386" s="1"/>
      <c r="V386" s="1"/>
      <c r="W386" s="1"/>
    </row>
    <row r="387" spans="1:23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1"/>
      <c r="R387" s="1"/>
      <c r="S387" s="1"/>
      <c r="T387" s="1"/>
      <c r="U387" s="1"/>
      <c r="V387" s="1"/>
      <c r="W387" s="1"/>
    </row>
    <row r="388" spans="1:23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1"/>
      <c r="R388" s="1"/>
      <c r="S388" s="1"/>
      <c r="T388" s="1"/>
      <c r="U388" s="1"/>
      <c r="V388" s="1"/>
      <c r="W388" s="1"/>
    </row>
    <row r="389" spans="1:23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1"/>
      <c r="R389" s="1"/>
      <c r="S389" s="1"/>
      <c r="T389" s="1"/>
      <c r="U389" s="1"/>
      <c r="V389" s="1"/>
      <c r="W389" s="1"/>
    </row>
    <row r="390" spans="1:23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1"/>
      <c r="R390" s="1"/>
      <c r="S390" s="1"/>
      <c r="T390" s="1"/>
      <c r="U390" s="1"/>
      <c r="V390" s="1"/>
      <c r="W390" s="1"/>
    </row>
    <row r="391" spans="1:23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1"/>
      <c r="R391" s="1"/>
      <c r="S391" s="1"/>
      <c r="T391" s="1"/>
      <c r="U391" s="1"/>
      <c r="V391" s="1"/>
      <c r="W391" s="1"/>
    </row>
    <row r="392" spans="1:23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1"/>
      <c r="R392" s="1"/>
      <c r="S392" s="1"/>
      <c r="T392" s="1"/>
      <c r="U392" s="1"/>
      <c r="V392" s="1"/>
      <c r="W392" s="1"/>
    </row>
    <row r="393" spans="1:23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1"/>
      <c r="R393" s="1"/>
      <c r="S393" s="1"/>
      <c r="T393" s="1"/>
      <c r="U393" s="1"/>
      <c r="V393" s="1"/>
      <c r="W393" s="1"/>
    </row>
    <row r="394" spans="1:23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1"/>
      <c r="R394" s="1"/>
      <c r="S394" s="1"/>
      <c r="T394" s="1"/>
      <c r="U394" s="1"/>
      <c r="V394" s="1"/>
      <c r="W394" s="1"/>
    </row>
    <row r="395" spans="1:23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1"/>
      <c r="R395" s="1"/>
      <c r="S395" s="1"/>
      <c r="T395" s="1"/>
      <c r="U395" s="1"/>
      <c r="V395" s="1"/>
      <c r="W395" s="1"/>
    </row>
    <row r="396" spans="1:23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1"/>
      <c r="R396" s="1"/>
      <c r="S396" s="1"/>
      <c r="T396" s="1"/>
      <c r="U396" s="1"/>
      <c r="V396" s="1"/>
      <c r="W396" s="1"/>
    </row>
    <row r="397" spans="1:23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1"/>
      <c r="R397" s="1"/>
      <c r="S397" s="1"/>
      <c r="T397" s="1"/>
      <c r="U397" s="1"/>
      <c r="V397" s="1"/>
      <c r="W397" s="1"/>
    </row>
    <row r="398" spans="1:23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1"/>
      <c r="R398" s="1"/>
      <c r="S398" s="1"/>
      <c r="T398" s="1"/>
      <c r="U398" s="1"/>
      <c r="V398" s="1"/>
      <c r="W398" s="1"/>
    </row>
    <row r="399" spans="1:23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1"/>
      <c r="R399" s="1"/>
      <c r="S399" s="1"/>
      <c r="T399" s="1"/>
      <c r="U399" s="1"/>
      <c r="V399" s="1"/>
      <c r="W399" s="1"/>
    </row>
    <row r="400" spans="1:23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1"/>
      <c r="R400" s="1"/>
      <c r="S400" s="1"/>
      <c r="T400" s="1"/>
      <c r="U400" s="1"/>
      <c r="V400" s="1"/>
      <c r="W400" s="1"/>
    </row>
    <row r="401" spans="1:23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1"/>
      <c r="R401" s="1"/>
      <c r="S401" s="1"/>
      <c r="T401" s="1"/>
      <c r="U401" s="1"/>
      <c r="V401" s="1"/>
      <c r="W401" s="1"/>
    </row>
    <row r="402" spans="1:23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1"/>
      <c r="R402" s="1"/>
      <c r="S402" s="1"/>
      <c r="T402" s="1"/>
      <c r="U402" s="1"/>
      <c r="V402" s="1"/>
      <c r="W402" s="1"/>
    </row>
    <row r="403" spans="1:23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1"/>
      <c r="R403" s="1"/>
      <c r="S403" s="1"/>
      <c r="T403" s="1"/>
      <c r="U403" s="1"/>
      <c r="V403" s="1"/>
      <c r="W403" s="1"/>
    </row>
    <row r="404" spans="1:23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1"/>
      <c r="R404" s="1"/>
      <c r="S404" s="1"/>
      <c r="T404" s="1"/>
      <c r="U404" s="1"/>
      <c r="V404" s="1"/>
      <c r="W404" s="1"/>
    </row>
    <row r="405" spans="1:23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1"/>
      <c r="R405" s="1"/>
      <c r="S405" s="1"/>
      <c r="T405" s="1"/>
      <c r="U405" s="1"/>
      <c r="V405" s="1"/>
      <c r="W405" s="1"/>
    </row>
    <row r="406" spans="1:23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1"/>
      <c r="R406" s="1"/>
      <c r="S406" s="1"/>
      <c r="T406" s="1"/>
      <c r="U406" s="1"/>
      <c r="V406" s="1"/>
      <c r="W406" s="1"/>
    </row>
    <row r="407" spans="1:23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1"/>
      <c r="R407" s="1"/>
      <c r="S407" s="1"/>
      <c r="T407" s="1"/>
      <c r="U407" s="1"/>
      <c r="V407" s="1"/>
      <c r="W407" s="1"/>
    </row>
    <row r="408" spans="1:23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1"/>
      <c r="R408" s="1"/>
      <c r="S408" s="1"/>
      <c r="T408" s="1"/>
      <c r="U408" s="1"/>
      <c r="V408" s="1"/>
      <c r="W408" s="1"/>
    </row>
    <row r="409" spans="1:23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1"/>
      <c r="R409" s="1"/>
      <c r="S409" s="1"/>
      <c r="T409" s="1"/>
      <c r="U409" s="1"/>
      <c r="V409" s="1"/>
      <c r="W409" s="1"/>
    </row>
    <row r="410" spans="1:23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1"/>
      <c r="R410" s="1"/>
      <c r="S410" s="1"/>
      <c r="T410" s="1"/>
      <c r="U410" s="1"/>
      <c r="V410" s="1"/>
      <c r="W410" s="1"/>
    </row>
    <row r="411" spans="1:23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1"/>
      <c r="R411" s="1"/>
      <c r="S411" s="1"/>
      <c r="T411" s="1"/>
      <c r="U411" s="1"/>
      <c r="V411" s="1"/>
      <c r="W411" s="1"/>
    </row>
    <row r="412" spans="1:23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1"/>
      <c r="R412" s="1"/>
      <c r="S412" s="1"/>
      <c r="T412" s="1"/>
      <c r="U412" s="1"/>
      <c r="V412" s="1"/>
      <c r="W412" s="1"/>
    </row>
    <row r="413" spans="1:23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1"/>
      <c r="R413" s="1"/>
      <c r="S413" s="1"/>
      <c r="T413" s="1"/>
      <c r="U413" s="1"/>
      <c r="V413" s="1"/>
      <c r="W413" s="1"/>
    </row>
    <row r="414" spans="1:23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1"/>
      <c r="R414" s="1"/>
      <c r="S414" s="1"/>
      <c r="T414" s="1"/>
      <c r="U414" s="1"/>
      <c r="V414" s="1"/>
      <c r="W414" s="1"/>
    </row>
    <row r="415" spans="1:23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1"/>
      <c r="R415" s="1"/>
      <c r="S415" s="1"/>
      <c r="T415" s="1"/>
      <c r="U415" s="1"/>
      <c r="V415" s="1"/>
      <c r="W415" s="1"/>
    </row>
    <row r="416" spans="1:23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1"/>
      <c r="R416" s="1"/>
      <c r="S416" s="1"/>
      <c r="T416" s="1"/>
      <c r="U416" s="1"/>
      <c r="V416" s="1"/>
      <c r="W416" s="1"/>
    </row>
    <row r="417" spans="1:23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1"/>
      <c r="R417" s="1"/>
      <c r="S417" s="1"/>
      <c r="T417" s="1"/>
      <c r="U417" s="1"/>
      <c r="V417" s="1"/>
      <c r="W417" s="1"/>
    </row>
    <row r="418" spans="1:23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1"/>
      <c r="R418" s="1"/>
      <c r="S418" s="1"/>
      <c r="T418" s="1"/>
      <c r="U418" s="1"/>
      <c r="V418" s="1"/>
      <c r="W418" s="1"/>
    </row>
    <row r="419" spans="1:23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1"/>
      <c r="R419" s="1"/>
      <c r="S419" s="1"/>
      <c r="T419" s="1"/>
      <c r="U419" s="1"/>
      <c r="V419" s="1"/>
      <c r="W419" s="1"/>
    </row>
    <row r="420" spans="1:23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1"/>
      <c r="R420" s="1"/>
      <c r="S420" s="1"/>
      <c r="T420" s="1"/>
      <c r="U420" s="1"/>
      <c r="V420" s="1"/>
      <c r="W420" s="1"/>
    </row>
    <row r="421" spans="1:23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1"/>
      <c r="R421" s="1"/>
      <c r="S421" s="1"/>
      <c r="T421" s="1"/>
      <c r="U421" s="1"/>
      <c r="V421" s="1"/>
      <c r="W421" s="1"/>
    </row>
    <row r="422" spans="1:23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1"/>
      <c r="R422" s="1"/>
      <c r="S422" s="1"/>
      <c r="T422" s="1"/>
      <c r="U422" s="1"/>
      <c r="V422" s="1"/>
      <c r="W422" s="1"/>
    </row>
    <row r="423" spans="1:23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1"/>
      <c r="R423" s="1"/>
      <c r="S423" s="1"/>
      <c r="T423" s="1"/>
      <c r="U423" s="1"/>
      <c r="V423" s="1"/>
      <c r="W423" s="1"/>
    </row>
    <row r="424" spans="1:23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1"/>
      <c r="R424" s="1"/>
      <c r="S424" s="1"/>
      <c r="T424" s="1"/>
      <c r="U424" s="1"/>
      <c r="V424" s="1"/>
      <c r="W424" s="1"/>
    </row>
    <row r="425" spans="1:23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1"/>
      <c r="R425" s="1"/>
      <c r="S425" s="1"/>
      <c r="T425" s="1"/>
      <c r="U425" s="1"/>
      <c r="V425" s="1"/>
      <c r="W425" s="1"/>
    </row>
    <row r="426" spans="1:23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23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23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23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23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23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23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ignoredErrors>
    <ignoredError sqref="H60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14"/>
  <sheetViews>
    <sheetView workbookViewId="0">
      <selection activeCell="G36" sqref="G36:G37"/>
    </sheetView>
  </sheetViews>
  <sheetFormatPr defaultRowHeight="12.75" x14ac:dyDescent="0.2"/>
  <cols>
    <col min="1" max="1" width="10.7109375" style="1" customWidth="1"/>
    <col min="3" max="3" width="16" customWidth="1"/>
    <col min="4" max="4" width="14.140625" customWidth="1"/>
    <col min="5" max="5" width="31" customWidth="1"/>
  </cols>
  <sheetData>
    <row r="1" spans="1:12" x14ac:dyDescent="0.2">
      <c r="A1" s="2"/>
      <c r="B1" s="2"/>
      <c r="C1" s="2"/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2" x14ac:dyDescent="0.2">
      <c r="A2" s="2" t="s">
        <v>0</v>
      </c>
      <c r="B2" s="2" t="s">
        <v>1</v>
      </c>
      <c r="C2" s="2"/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2" ht="13.5" thickBot="1" x14ac:dyDescent="0.25">
      <c r="G3" s="20"/>
      <c r="I3" s="1"/>
      <c r="J3" s="4" t="s">
        <v>6</v>
      </c>
      <c r="K3" s="4" t="s">
        <v>7</v>
      </c>
    </row>
    <row r="4" spans="1:12" x14ac:dyDescent="0.2">
      <c r="A4" s="7">
        <v>39345</v>
      </c>
      <c r="B4" s="8">
        <v>1</v>
      </c>
      <c r="C4" s="8" t="s">
        <v>27</v>
      </c>
      <c r="D4" s="8">
        <v>1</v>
      </c>
      <c r="E4" s="8" t="s">
        <v>9</v>
      </c>
      <c r="F4" s="6">
        <v>6</v>
      </c>
      <c r="G4" s="18">
        <v>1</v>
      </c>
      <c r="H4" s="9">
        <f t="shared" ref="H4:H42" si="0">G4/F4</f>
        <v>0.16666666666666666</v>
      </c>
      <c r="I4" s="8">
        <v>0</v>
      </c>
      <c r="J4" s="8">
        <v>0</v>
      </c>
      <c r="K4" s="8">
        <v>0</v>
      </c>
    </row>
    <row r="5" spans="1:12" x14ac:dyDescent="0.2">
      <c r="A5" s="7">
        <v>39345</v>
      </c>
      <c r="B5" s="8">
        <v>1</v>
      </c>
      <c r="C5" s="8" t="s">
        <v>28</v>
      </c>
      <c r="D5" s="8">
        <v>2</v>
      </c>
      <c r="E5" s="8" t="s">
        <v>10</v>
      </c>
      <c r="F5" s="6">
        <v>3</v>
      </c>
      <c r="G5" s="18">
        <v>1</v>
      </c>
      <c r="H5" s="9">
        <f t="shared" si="0"/>
        <v>0.33333333333333331</v>
      </c>
      <c r="I5" s="8">
        <v>0</v>
      </c>
      <c r="J5" s="8">
        <v>0</v>
      </c>
      <c r="K5" s="8">
        <v>0</v>
      </c>
    </row>
    <row r="6" spans="1:12" x14ac:dyDescent="0.2">
      <c r="A6" s="7">
        <v>39339</v>
      </c>
      <c r="B6" s="8">
        <v>1</v>
      </c>
      <c r="C6" s="8" t="s">
        <v>29</v>
      </c>
      <c r="D6" s="8">
        <v>3</v>
      </c>
      <c r="E6" s="8" t="s">
        <v>11</v>
      </c>
      <c r="F6" s="6">
        <v>2</v>
      </c>
      <c r="G6" s="18">
        <v>4</v>
      </c>
      <c r="H6" s="9">
        <f t="shared" si="0"/>
        <v>2</v>
      </c>
      <c r="I6" s="8">
        <v>1</v>
      </c>
      <c r="J6" s="8">
        <v>0</v>
      </c>
      <c r="K6" s="8">
        <v>0</v>
      </c>
    </row>
    <row r="7" spans="1:12" x14ac:dyDescent="0.2">
      <c r="A7" s="7">
        <v>39345</v>
      </c>
      <c r="B7" s="8">
        <v>2</v>
      </c>
      <c r="C7" s="8" t="s">
        <v>29</v>
      </c>
      <c r="D7" s="8">
        <v>3</v>
      </c>
      <c r="E7" s="8" t="s">
        <v>11</v>
      </c>
      <c r="F7" s="6">
        <v>2</v>
      </c>
      <c r="G7" s="18">
        <v>1</v>
      </c>
      <c r="H7" s="9">
        <f t="shared" si="0"/>
        <v>0.5</v>
      </c>
      <c r="I7" s="8">
        <v>0</v>
      </c>
      <c r="J7" s="8">
        <v>0</v>
      </c>
      <c r="K7" s="8">
        <v>0</v>
      </c>
      <c r="L7" s="8"/>
    </row>
    <row r="8" spans="1:12" x14ac:dyDescent="0.2">
      <c r="A8" s="7">
        <v>39339</v>
      </c>
      <c r="B8" s="8">
        <v>1</v>
      </c>
      <c r="C8" s="8" t="s">
        <v>30</v>
      </c>
      <c r="D8" s="8">
        <v>4</v>
      </c>
      <c r="E8" s="8" t="s">
        <v>12</v>
      </c>
      <c r="F8" s="6">
        <v>5</v>
      </c>
      <c r="G8" s="18">
        <v>10</v>
      </c>
      <c r="H8" s="9">
        <f t="shared" si="0"/>
        <v>2</v>
      </c>
      <c r="I8" s="8">
        <v>4</v>
      </c>
      <c r="J8" s="8">
        <v>0</v>
      </c>
      <c r="K8" s="8">
        <v>1</v>
      </c>
    </row>
    <row r="9" spans="1:12" x14ac:dyDescent="0.2">
      <c r="A9" s="7">
        <v>39345</v>
      </c>
      <c r="B9" s="8">
        <v>2</v>
      </c>
      <c r="C9" s="8" t="s">
        <v>30</v>
      </c>
      <c r="D9" s="8">
        <v>4</v>
      </c>
      <c r="E9" s="8" t="s">
        <v>12</v>
      </c>
      <c r="F9" s="6">
        <v>5</v>
      </c>
      <c r="G9" s="18">
        <v>1</v>
      </c>
      <c r="H9" s="9">
        <f t="shared" si="0"/>
        <v>0.2</v>
      </c>
      <c r="I9" s="8">
        <v>0</v>
      </c>
      <c r="J9" s="8">
        <v>0</v>
      </c>
      <c r="K9" s="8">
        <v>0</v>
      </c>
    </row>
    <row r="10" spans="1:12" x14ac:dyDescent="0.2">
      <c r="A10" s="7">
        <v>39333</v>
      </c>
      <c r="B10" s="8">
        <v>1</v>
      </c>
      <c r="C10" s="8" t="s">
        <v>31</v>
      </c>
      <c r="D10" s="8">
        <v>5</v>
      </c>
      <c r="E10" s="8" t="s">
        <v>13</v>
      </c>
      <c r="F10" s="6">
        <v>2</v>
      </c>
      <c r="G10" s="18">
        <v>7</v>
      </c>
      <c r="H10" s="9">
        <f t="shared" si="0"/>
        <v>3.5</v>
      </c>
      <c r="I10" s="8">
        <v>6</v>
      </c>
      <c r="J10" s="8">
        <v>0</v>
      </c>
      <c r="K10" s="8">
        <v>1</v>
      </c>
    </row>
    <row r="11" spans="1:12" x14ac:dyDescent="0.2">
      <c r="A11" s="7">
        <v>39339</v>
      </c>
      <c r="B11" s="8">
        <v>2</v>
      </c>
      <c r="C11" s="8" t="s">
        <v>31</v>
      </c>
      <c r="D11" s="8">
        <v>5</v>
      </c>
      <c r="E11" s="8" t="s">
        <v>13</v>
      </c>
      <c r="F11" s="6">
        <v>2</v>
      </c>
      <c r="G11" s="18">
        <v>1</v>
      </c>
      <c r="H11" s="9">
        <f t="shared" si="0"/>
        <v>0.5</v>
      </c>
      <c r="I11" s="8">
        <v>2</v>
      </c>
      <c r="J11" s="8">
        <v>1</v>
      </c>
      <c r="K11" s="8">
        <v>2</v>
      </c>
    </row>
    <row r="12" spans="1:12" x14ac:dyDescent="0.2">
      <c r="A12" s="7">
        <v>39345</v>
      </c>
      <c r="B12" s="8">
        <v>3</v>
      </c>
      <c r="C12" s="8" t="s">
        <v>31</v>
      </c>
      <c r="D12" s="8">
        <v>5</v>
      </c>
      <c r="E12" s="8" t="s">
        <v>13</v>
      </c>
      <c r="F12" s="6">
        <v>2</v>
      </c>
      <c r="G12" s="18">
        <v>0</v>
      </c>
      <c r="H12" s="9">
        <f t="shared" si="0"/>
        <v>0</v>
      </c>
      <c r="I12" s="8">
        <v>0</v>
      </c>
      <c r="J12" s="8">
        <v>1</v>
      </c>
      <c r="K12" s="8">
        <v>1</v>
      </c>
    </row>
    <row r="13" spans="1:12" x14ac:dyDescent="0.2">
      <c r="A13" s="7">
        <v>39350</v>
      </c>
      <c r="B13" s="8">
        <v>4</v>
      </c>
      <c r="C13" s="8" t="s">
        <v>31</v>
      </c>
      <c r="D13" s="8">
        <v>5</v>
      </c>
      <c r="E13" s="8" t="s">
        <v>13</v>
      </c>
      <c r="F13" s="6">
        <v>2</v>
      </c>
      <c r="G13" s="18">
        <v>0</v>
      </c>
      <c r="H13" s="9">
        <f t="shared" si="0"/>
        <v>0</v>
      </c>
      <c r="I13" s="8">
        <v>0</v>
      </c>
      <c r="J13" s="8">
        <v>0</v>
      </c>
      <c r="K13" s="8">
        <v>0</v>
      </c>
    </row>
    <row r="14" spans="1:12" x14ac:dyDescent="0.2">
      <c r="A14" s="7">
        <v>39333</v>
      </c>
      <c r="B14" s="8">
        <v>1</v>
      </c>
      <c r="C14" s="8" t="s">
        <v>32</v>
      </c>
      <c r="D14" s="8">
        <v>6</v>
      </c>
      <c r="E14" s="8" t="s">
        <v>14</v>
      </c>
      <c r="F14" s="6">
        <v>4</v>
      </c>
      <c r="G14" s="18">
        <v>16</v>
      </c>
      <c r="H14" s="9">
        <f t="shared" si="0"/>
        <v>4</v>
      </c>
      <c r="I14" s="8">
        <v>17</v>
      </c>
      <c r="J14" s="8">
        <v>0</v>
      </c>
      <c r="K14" s="8">
        <v>2</v>
      </c>
    </row>
    <row r="15" spans="1:12" x14ac:dyDescent="0.2">
      <c r="A15" s="7">
        <v>39339</v>
      </c>
      <c r="B15" s="8">
        <v>2</v>
      </c>
      <c r="C15" s="8" t="s">
        <v>32</v>
      </c>
      <c r="D15" s="8">
        <v>6</v>
      </c>
      <c r="E15" s="8" t="s">
        <v>14</v>
      </c>
      <c r="F15" s="6">
        <v>4</v>
      </c>
      <c r="G15" s="18">
        <v>2</v>
      </c>
      <c r="H15" s="9">
        <f t="shared" si="0"/>
        <v>0.5</v>
      </c>
      <c r="I15" s="8">
        <v>2</v>
      </c>
      <c r="J15" s="8">
        <v>0</v>
      </c>
      <c r="K15" s="8">
        <v>6</v>
      </c>
      <c r="L15" t="s">
        <v>152</v>
      </c>
    </row>
    <row r="16" spans="1:12" x14ac:dyDescent="0.2">
      <c r="A16" s="7">
        <v>39345</v>
      </c>
      <c r="B16" s="8">
        <v>3</v>
      </c>
      <c r="C16" s="8" t="s">
        <v>32</v>
      </c>
      <c r="D16" s="8">
        <v>6</v>
      </c>
      <c r="E16" s="8" t="s">
        <v>14</v>
      </c>
      <c r="F16" s="6">
        <v>4</v>
      </c>
      <c r="G16" s="18">
        <v>5</v>
      </c>
      <c r="H16" s="9">
        <f t="shared" si="0"/>
        <v>1.25</v>
      </c>
      <c r="I16" s="8">
        <v>0</v>
      </c>
      <c r="J16" s="8">
        <v>2</v>
      </c>
      <c r="K16" s="8">
        <v>2</v>
      </c>
    </row>
    <row r="17" spans="1:12" x14ac:dyDescent="0.2">
      <c r="A17" s="7">
        <v>39350</v>
      </c>
      <c r="B17" s="8">
        <v>4</v>
      </c>
      <c r="C17" s="8" t="s">
        <v>32</v>
      </c>
      <c r="D17" s="8">
        <v>6</v>
      </c>
      <c r="E17" s="8" t="s">
        <v>14</v>
      </c>
      <c r="F17" s="6">
        <v>4</v>
      </c>
      <c r="G17" s="18">
        <v>0</v>
      </c>
      <c r="H17" s="9">
        <f t="shared" si="0"/>
        <v>0</v>
      </c>
      <c r="I17" s="8">
        <v>0</v>
      </c>
      <c r="J17" s="8">
        <v>0</v>
      </c>
      <c r="K17" s="8">
        <v>0</v>
      </c>
    </row>
    <row r="18" spans="1:12" x14ac:dyDescent="0.2">
      <c r="A18" s="7">
        <v>39333</v>
      </c>
      <c r="B18" s="8">
        <v>1</v>
      </c>
      <c r="C18" s="8" t="s">
        <v>33</v>
      </c>
      <c r="D18" s="8">
        <v>7</v>
      </c>
      <c r="E18" s="8" t="s">
        <v>15</v>
      </c>
      <c r="F18" s="6">
        <v>3</v>
      </c>
      <c r="G18" s="18">
        <v>6</v>
      </c>
      <c r="H18" s="9">
        <f t="shared" si="0"/>
        <v>2</v>
      </c>
      <c r="I18" s="8">
        <v>7</v>
      </c>
      <c r="J18" s="8">
        <v>0</v>
      </c>
      <c r="K18" s="8">
        <v>0</v>
      </c>
    </row>
    <row r="19" spans="1:12" x14ac:dyDescent="0.2">
      <c r="A19" s="7">
        <v>39339</v>
      </c>
      <c r="B19" s="8">
        <v>2</v>
      </c>
      <c r="C19" s="8" t="s">
        <v>33</v>
      </c>
      <c r="D19" s="8">
        <v>7</v>
      </c>
      <c r="E19" s="8" t="s">
        <v>15</v>
      </c>
      <c r="F19" s="6">
        <v>3</v>
      </c>
      <c r="G19" s="18">
        <v>3</v>
      </c>
      <c r="H19" s="9">
        <f t="shared" si="0"/>
        <v>1</v>
      </c>
      <c r="I19" s="8">
        <v>5</v>
      </c>
      <c r="J19" s="8">
        <v>1</v>
      </c>
      <c r="K19" s="8">
        <v>1</v>
      </c>
    </row>
    <row r="20" spans="1:12" x14ac:dyDescent="0.2">
      <c r="A20" s="7">
        <v>39345</v>
      </c>
      <c r="B20" s="8">
        <v>3</v>
      </c>
      <c r="C20" s="8" t="s">
        <v>33</v>
      </c>
      <c r="D20" s="8">
        <v>7</v>
      </c>
      <c r="E20" s="8" t="s">
        <v>15</v>
      </c>
      <c r="F20" s="6">
        <v>3</v>
      </c>
      <c r="G20" s="18">
        <v>0</v>
      </c>
      <c r="H20" s="9">
        <f t="shared" si="0"/>
        <v>0</v>
      </c>
      <c r="I20" s="8">
        <v>0</v>
      </c>
      <c r="J20" s="8">
        <v>1</v>
      </c>
      <c r="K20" s="8">
        <v>0</v>
      </c>
    </row>
    <row r="21" spans="1:12" x14ac:dyDescent="0.2">
      <c r="A21" s="7">
        <v>39350</v>
      </c>
      <c r="B21" s="8">
        <v>4</v>
      </c>
      <c r="C21" s="8" t="s">
        <v>33</v>
      </c>
      <c r="D21" s="8">
        <v>7</v>
      </c>
      <c r="E21" s="8" t="s">
        <v>15</v>
      </c>
      <c r="F21" s="6">
        <v>3</v>
      </c>
      <c r="G21" s="18">
        <v>0</v>
      </c>
      <c r="H21" s="9">
        <f t="shared" si="0"/>
        <v>0</v>
      </c>
      <c r="I21" s="8">
        <v>0</v>
      </c>
      <c r="J21" s="8">
        <v>0</v>
      </c>
      <c r="K21" s="8">
        <v>0</v>
      </c>
    </row>
    <row r="22" spans="1:12" x14ac:dyDescent="0.2">
      <c r="A22" s="7">
        <v>39333</v>
      </c>
      <c r="B22" s="8">
        <v>1</v>
      </c>
      <c r="C22" s="8" t="s">
        <v>34</v>
      </c>
      <c r="D22" s="8">
        <v>8</v>
      </c>
      <c r="E22" s="8" t="s">
        <v>16</v>
      </c>
      <c r="F22" s="6">
        <v>3</v>
      </c>
      <c r="G22" s="18">
        <v>12</v>
      </c>
      <c r="H22" s="9">
        <f t="shared" si="0"/>
        <v>4</v>
      </c>
      <c r="I22" s="8">
        <v>20</v>
      </c>
      <c r="J22" s="8">
        <v>1</v>
      </c>
      <c r="K22" s="18">
        <v>2</v>
      </c>
    </row>
    <row r="23" spans="1:12" x14ac:dyDescent="0.2">
      <c r="A23" s="7">
        <v>39339</v>
      </c>
      <c r="B23" s="8">
        <v>2</v>
      </c>
      <c r="C23" s="8" t="s">
        <v>34</v>
      </c>
      <c r="D23" s="8">
        <v>8</v>
      </c>
      <c r="E23" s="8" t="s">
        <v>16</v>
      </c>
      <c r="F23" s="6">
        <v>3</v>
      </c>
      <c r="G23" s="18">
        <v>11</v>
      </c>
      <c r="H23" s="9">
        <f t="shared" si="0"/>
        <v>3.6666666666666665</v>
      </c>
      <c r="I23" s="8">
        <v>18</v>
      </c>
      <c r="J23" s="8">
        <v>1</v>
      </c>
      <c r="K23" s="8">
        <v>7</v>
      </c>
    </row>
    <row r="24" spans="1:12" x14ac:dyDescent="0.2">
      <c r="A24" s="7">
        <v>39345</v>
      </c>
      <c r="B24" s="8">
        <v>3</v>
      </c>
      <c r="C24" s="8" t="s">
        <v>34</v>
      </c>
      <c r="D24" s="8">
        <v>8</v>
      </c>
      <c r="E24" s="8" t="s">
        <v>16</v>
      </c>
      <c r="F24" s="6">
        <v>3</v>
      </c>
      <c r="G24" s="18">
        <v>2</v>
      </c>
      <c r="H24" s="9">
        <f t="shared" si="0"/>
        <v>0.66666666666666663</v>
      </c>
      <c r="I24" s="8">
        <v>4</v>
      </c>
      <c r="J24" s="8">
        <v>1</v>
      </c>
      <c r="K24" s="8">
        <v>6</v>
      </c>
    </row>
    <row r="25" spans="1:12" x14ac:dyDescent="0.2">
      <c r="A25" s="7">
        <v>39350</v>
      </c>
      <c r="B25" s="8">
        <v>4</v>
      </c>
      <c r="C25" s="8" t="s">
        <v>34</v>
      </c>
      <c r="D25" s="8">
        <v>8</v>
      </c>
      <c r="E25" s="8" t="s">
        <v>16</v>
      </c>
      <c r="F25" s="6">
        <v>3</v>
      </c>
      <c r="G25" s="18">
        <v>0</v>
      </c>
      <c r="H25" s="9">
        <f t="shared" si="0"/>
        <v>0</v>
      </c>
      <c r="I25" s="8">
        <v>1</v>
      </c>
      <c r="J25" s="8">
        <v>1</v>
      </c>
      <c r="K25" s="8">
        <v>3</v>
      </c>
    </row>
    <row r="26" spans="1:12" x14ac:dyDescent="0.2">
      <c r="A26" s="7">
        <v>39333</v>
      </c>
      <c r="B26" s="8">
        <v>1</v>
      </c>
      <c r="C26" s="8" t="s">
        <v>35</v>
      </c>
      <c r="D26" s="8">
        <v>9</v>
      </c>
      <c r="E26" s="8" t="s">
        <v>17</v>
      </c>
      <c r="F26" s="6">
        <v>4</v>
      </c>
      <c r="G26" s="18">
        <v>7</v>
      </c>
      <c r="H26" s="9">
        <f t="shared" si="0"/>
        <v>1.75</v>
      </c>
      <c r="I26" s="8">
        <v>8</v>
      </c>
      <c r="J26" s="8">
        <v>0</v>
      </c>
      <c r="K26" s="8">
        <v>0</v>
      </c>
      <c r="L26" t="s">
        <v>152</v>
      </c>
    </row>
    <row r="27" spans="1:12" x14ac:dyDescent="0.2">
      <c r="A27" s="7">
        <v>39339</v>
      </c>
      <c r="B27" s="8">
        <v>2</v>
      </c>
      <c r="C27" s="8" t="s">
        <v>35</v>
      </c>
      <c r="D27" s="8">
        <v>9</v>
      </c>
      <c r="E27" s="8" t="s">
        <v>17</v>
      </c>
      <c r="F27" s="6">
        <v>4</v>
      </c>
      <c r="G27" s="18">
        <v>3</v>
      </c>
      <c r="H27" s="9">
        <f t="shared" si="0"/>
        <v>0.75</v>
      </c>
      <c r="I27" s="8">
        <v>4</v>
      </c>
      <c r="J27" s="8">
        <v>2</v>
      </c>
      <c r="K27" s="8">
        <v>3</v>
      </c>
    </row>
    <row r="28" spans="1:12" x14ac:dyDescent="0.2">
      <c r="A28" s="7">
        <v>39345</v>
      </c>
      <c r="B28" s="8">
        <v>3</v>
      </c>
      <c r="C28" s="8" t="s">
        <v>35</v>
      </c>
      <c r="D28" s="8">
        <v>9</v>
      </c>
      <c r="E28" s="8" t="s">
        <v>17</v>
      </c>
      <c r="F28" s="6">
        <v>4</v>
      </c>
      <c r="G28" s="18">
        <v>0</v>
      </c>
      <c r="H28" s="9">
        <f t="shared" si="0"/>
        <v>0</v>
      </c>
      <c r="I28" s="8">
        <v>1</v>
      </c>
      <c r="J28" s="8">
        <v>0</v>
      </c>
      <c r="K28" s="8">
        <v>3</v>
      </c>
    </row>
    <row r="29" spans="1:12" x14ac:dyDescent="0.2">
      <c r="A29" s="7">
        <v>39350</v>
      </c>
      <c r="B29" s="8">
        <v>4</v>
      </c>
      <c r="C29" s="8" t="s">
        <v>35</v>
      </c>
      <c r="D29" s="8">
        <v>9</v>
      </c>
      <c r="E29" s="8" t="s">
        <v>17</v>
      </c>
      <c r="F29" s="6">
        <v>4</v>
      </c>
      <c r="G29" s="18">
        <v>0</v>
      </c>
      <c r="H29" s="9">
        <f t="shared" si="0"/>
        <v>0</v>
      </c>
      <c r="I29" s="8">
        <v>0</v>
      </c>
      <c r="J29" s="8">
        <v>0</v>
      </c>
      <c r="K29" s="8">
        <v>0</v>
      </c>
    </row>
    <row r="30" spans="1:12" x14ac:dyDescent="0.2">
      <c r="A30" s="7">
        <v>39333</v>
      </c>
      <c r="B30" s="8">
        <v>1</v>
      </c>
      <c r="C30" s="8" t="s">
        <v>36</v>
      </c>
      <c r="D30" s="8">
        <v>10</v>
      </c>
      <c r="E30" s="8" t="s">
        <v>18</v>
      </c>
      <c r="F30" s="6">
        <v>5</v>
      </c>
      <c r="G30" s="18">
        <v>1</v>
      </c>
      <c r="H30" s="9">
        <f t="shared" si="0"/>
        <v>0.2</v>
      </c>
      <c r="I30" s="8">
        <v>0</v>
      </c>
      <c r="J30" s="8">
        <v>0</v>
      </c>
      <c r="K30" s="8">
        <v>0</v>
      </c>
    </row>
    <row r="31" spans="1:12" x14ac:dyDescent="0.2">
      <c r="A31" s="7">
        <v>39340</v>
      </c>
      <c r="B31" s="8">
        <v>2</v>
      </c>
      <c r="C31" s="8" t="s">
        <v>36</v>
      </c>
      <c r="D31" s="8">
        <v>10</v>
      </c>
      <c r="E31" s="8" t="s">
        <v>18</v>
      </c>
      <c r="F31" s="6">
        <v>5</v>
      </c>
      <c r="G31" s="18">
        <v>1</v>
      </c>
      <c r="H31" s="9">
        <f t="shared" si="0"/>
        <v>0.2</v>
      </c>
      <c r="I31" s="8">
        <v>0</v>
      </c>
      <c r="J31" s="8">
        <v>0</v>
      </c>
      <c r="K31" s="8">
        <v>0</v>
      </c>
    </row>
    <row r="32" spans="1:12" x14ac:dyDescent="0.2">
      <c r="A32" s="7">
        <v>39333</v>
      </c>
      <c r="B32" s="8">
        <v>1</v>
      </c>
      <c r="C32" s="8" t="s">
        <v>37</v>
      </c>
      <c r="D32" s="8">
        <v>11</v>
      </c>
      <c r="E32" s="8" t="s">
        <v>19</v>
      </c>
      <c r="F32" s="6">
        <v>4</v>
      </c>
      <c r="G32" s="18">
        <v>3</v>
      </c>
      <c r="H32" s="9">
        <f t="shared" si="0"/>
        <v>0.75</v>
      </c>
      <c r="I32" s="8">
        <v>0</v>
      </c>
      <c r="J32" s="8">
        <v>0</v>
      </c>
      <c r="K32" s="8">
        <v>0</v>
      </c>
    </row>
    <row r="33" spans="1:11" x14ac:dyDescent="0.2">
      <c r="A33" s="7">
        <v>39340</v>
      </c>
      <c r="B33" s="8">
        <v>2</v>
      </c>
      <c r="C33" s="8" t="s">
        <v>37</v>
      </c>
      <c r="D33" s="8">
        <v>11</v>
      </c>
      <c r="E33" s="8" t="s">
        <v>19</v>
      </c>
      <c r="F33" s="6">
        <v>4</v>
      </c>
      <c r="G33" s="18">
        <v>0</v>
      </c>
      <c r="H33" s="9">
        <f t="shared" si="0"/>
        <v>0</v>
      </c>
      <c r="I33" s="8">
        <v>0</v>
      </c>
      <c r="J33" s="8">
        <v>0</v>
      </c>
      <c r="K33" s="8">
        <v>0</v>
      </c>
    </row>
    <row r="34" spans="1:11" x14ac:dyDescent="0.2">
      <c r="A34" s="7">
        <v>39333</v>
      </c>
      <c r="B34" s="8">
        <v>1</v>
      </c>
      <c r="C34" s="8" t="s">
        <v>38</v>
      </c>
      <c r="D34" s="8">
        <v>12</v>
      </c>
      <c r="E34" s="8" t="s">
        <v>20</v>
      </c>
      <c r="F34" s="6">
        <v>3</v>
      </c>
      <c r="G34" s="18">
        <v>1</v>
      </c>
      <c r="H34" s="9">
        <f t="shared" si="0"/>
        <v>0.33333333333333331</v>
      </c>
      <c r="I34" s="8">
        <v>2</v>
      </c>
      <c r="J34" s="8">
        <v>0</v>
      </c>
      <c r="K34" s="8">
        <v>0</v>
      </c>
    </row>
    <row r="35" spans="1:11" x14ac:dyDescent="0.2">
      <c r="A35" s="7">
        <v>39340</v>
      </c>
      <c r="B35" s="8">
        <v>2</v>
      </c>
      <c r="C35" s="8" t="s">
        <v>38</v>
      </c>
      <c r="D35" s="8">
        <v>12</v>
      </c>
      <c r="E35" s="8" t="s">
        <v>20</v>
      </c>
      <c r="F35" s="6">
        <v>3</v>
      </c>
      <c r="G35" s="18">
        <v>1</v>
      </c>
      <c r="H35" s="9">
        <f t="shared" si="0"/>
        <v>0.33333333333333331</v>
      </c>
      <c r="I35" s="8">
        <v>0</v>
      </c>
      <c r="J35" s="8">
        <v>0</v>
      </c>
      <c r="K35" s="8">
        <v>0</v>
      </c>
    </row>
    <row r="36" spans="1:11" x14ac:dyDescent="0.2">
      <c r="A36" s="7">
        <v>39340</v>
      </c>
      <c r="B36" s="8">
        <v>2</v>
      </c>
      <c r="C36" s="8" t="s">
        <v>124</v>
      </c>
      <c r="D36" s="8">
        <v>13</v>
      </c>
      <c r="E36" s="8" t="s">
        <v>21</v>
      </c>
      <c r="F36" s="6">
        <v>3</v>
      </c>
      <c r="G36" s="18">
        <v>1</v>
      </c>
      <c r="H36" s="9">
        <f t="shared" si="0"/>
        <v>0.33333333333333331</v>
      </c>
      <c r="I36" s="8">
        <v>0</v>
      </c>
      <c r="J36" s="8">
        <v>0</v>
      </c>
      <c r="K36" s="8">
        <v>1</v>
      </c>
    </row>
    <row r="37" spans="1:11" x14ac:dyDescent="0.2">
      <c r="A37" s="7">
        <v>38982</v>
      </c>
      <c r="B37" s="8">
        <v>1</v>
      </c>
      <c r="C37" s="8" t="s">
        <v>146</v>
      </c>
      <c r="D37" s="8" t="s">
        <v>176</v>
      </c>
      <c r="E37" s="8" t="s">
        <v>145</v>
      </c>
      <c r="F37" s="6">
        <v>3</v>
      </c>
      <c r="G37" s="18">
        <v>2</v>
      </c>
      <c r="H37" s="9">
        <f t="shared" si="0"/>
        <v>0.66666666666666663</v>
      </c>
      <c r="I37" s="8">
        <v>0</v>
      </c>
      <c r="J37" s="8">
        <v>1</v>
      </c>
      <c r="K37" s="8">
        <v>0</v>
      </c>
    </row>
    <row r="38" spans="1:11" x14ac:dyDescent="0.2">
      <c r="A38" s="7">
        <v>38982</v>
      </c>
      <c r="B38" s="8">
        <v>1</v>
      </c>
      <c r="C38" s="8" t="s">
        <v>133</v>
      </c>
      <c r="D38" s="8">
        <v>18</v>
      </c>
      <c r="E38" s="8" t="s">
        <v>147</v>
      </c>
      <c r="F38" s="6">
        <v>3</v>
      </c>
      <c r="G38" s="18">
        <v>3</v>
      </c>
      <c r="H38" s="9">
        <f t="shared" si="0"/>
        <v>1</v>
      </c>
      <c r="I38" s="8">
        <v>0</v>
      </c>
      <c r="J38" s="8">
        <v>0</v>
      </c>
      <c r="K38" s="8">
        <v>0</v>
      </c>
    </row>
    <row r="39" spans="1:11" x14ac:dyDescent="0.2">
      <c r="A39" s="7">
        <v>38982</v>
      </c>
      <c r="B39" s="8">
        <v>1</v>
      </c>
      <c r="C39" s="8" t="s">
        <v>149</v>
      </c>
      <c r="D39" s="8">
        <v>19</v>
      </c>
      <c r="E39" s="8" t="s">
        <v>148</v>
      </c>
      <c r="F39" s="6">
        <v>5</v>
      </c>
      <c r="G39" s="18">
        <v>1</v>
      </c>
      <c r="H39" s="9">
        <f t="shared" si="0"/>
        <v>0.2</v>
      </c>
      <c r="I39" s="8">
        <v>0</v>
      </c>
      <c r="J39" s="8">
        <v>0</v>
      </c>
      <c r="K39" s="8">
        <v>0</v>
      </c>
    </row>
    <row r="40" spans="1:11" x14ac:dyDescent="0.2">
      <c r="A40" s="7">
        <v>38981</v>
      </c>
      <c r="B40" s="8">
        <v>1</v>
      </c>
      <c r="C40" s="8" t="s">
        <v>144</v>
      </c>
      <c r="D40" s="8">
        <v>20</v>
      </c>
      <c r="E40" s="1" t="s">
        <v>150</v>
      </c>
      <c r="F40" s="6">
        <v>4</v>
      </c>
      <c r="G40" s="18">
        <v>1</v>
      </c>
      <c r="H40" s="9">
        <f t="shared" si="0"/>
        <v>0.25</v>
      </c>
      <c r="I40" s="8">
        <v>0</v>
      </c>
      <c r="J40" s="8">
        <v>0</v>
      </c>
      <c r="K40" s="8">
        <v>0</v>
      </c>
    </row>
    <row r="41" spans="1:11" ht="13.5" thickBot="1" x14ac:dyDescent="0.25">
      <c r="A41" s="7">
        <v>38982</v>
      </c>
      <c r="B41" s="8">
        <v>1</v>
      </c>
      <c r="C41" s="8" t="s">
        <v>137</v>
      </c>
      <c r="D41" s="8">
        <v>22</v>
      </c>
      <c r="E41" s="8" t="s">
        <v>151</v>
      </c>
      <c r="F41" s="80">
        <v>4</v>
      </c>
      <c r="G41" s="81">
        <v>1</v>
      </c>
      <c r="H41" s="69">
        <f t="shared" si="0"/>
        <v>0.25</v>
      </c>
      <c r="I41" s="68">
        <v>0</v>
      </c>
      <c r="J41" s="68">
        <v>0</v>
      </c>
      <c r="K41" s="68">
        <v>0</v>
      </c>
    </row>
    <row r="42" spans="1:11" x14ac:dyDescent="0.2">
      <c r="A42"/>
      <c r="F42" s="82">
        <f>SUM(F4:F41)</f>
        <v>133</v>
      </c>
      <c r="G42" s="83">
        <f>SUM(G4:G41)</f>
        <v>109</v>
      </c>
      <c r="H42" s="64">
        <f t="shared" si="0"/>
        <v>0.81954887218045114</v>
      </c>
      <c r="I42" s="83">
        <f t="shared" ref="I42:K42" si="1">SUM(I4:I41)</f>
        <v>102</v>
      </c>
      <c r="J42" s="83">
        <f t="shared" si="1"/>
        <v>13</v>
      </c>
      <c r="K42" s="83">
        <f t="shared" si="1"/>
        <v>41</v>
      </c>
    </row>
    <row r="43" spans="1:11" x14ac:dyDescent="0.2">
      <c r="A43"/>
      <c r="G43" s="20"/>
    </row>
    <row r="44" spans="1:11" x14ac:dyDescent="0.2">
      <c r="A44" s="8"/>
      <c r="B44" s="6"/>
      <c r="C44" s="6"/>
      <c r="D44" s="6"/>
      <c r="E44" s="6"/>
      <c r="F44" s="6"/>
      <c r="G44" s="19"/>
      <c r="H44" s="6"/>
      <c r="I44" s="6"/>
      <c r="J44" s="6"/>
      <c r="K44" s="6"/>
    </row>
    <row r="45" spans="1:11" x14ac:dyDescent="0.2">
      <c r="A45" s="10" t="s">
        <v>72</v>
      </c>
      <c r="B45" s="3" t="s">
        <v>23</v>
      </c>
      <c r="E45" s="6"/>
      <c r="F45" s="6"/>
      <c r="G45" s="6"/>
      <c r="H45" s="6"/>
      <c r="I45" s="6"/>
      <c r="J45" s="6"/>
      <c r="K45" s="6"/>
    </row>
    <row r="46" spans="1:11" x14ac:dyDescent="0.2">
      <c r="A46" s="8" t="s">
        <v>27</v>
      </c>
      <c r="B46" s="6" t="s">
        <v>9</v>
      </c>
      <c r="C46" s="6"/>
      <c r="D46" s="6"/>
      <c r="E46" s="6">
        <v>6</v>
      </c>
      <c r="G46" s="13"/>
    </row>
    <row r="47" spans="1:11" x14ac:dyDescent="0.2">
      <c r="A47" s="8" t="s">
        <v>28</v>
      </c>
      <c r="B47" s="6" t="s">
        <v>10</v>
      </c>
      <c r="C47" s="6"/>
      <c r="D47" s="6"/>
      <c r="E47" s="6">
        <v>3</v>
      </c>
      <c r="G47" s="13"/>
    </row>
    <row r="48" spans="1:11" x14ac:dyDescent="0.2">
      <c r="A48" s="8" t="s">
        <v>29</v>
      </c>
      <c r="B48" s="6" t="s">
        <v>11</v>
      </c>
      <c r="C48" s="6"/>
      <c r="D48" s="6"/>
      <c r="E48" s="6">
        <v>2</v>
      </c>
      <c r="G48" s="13"/>
    </row>
    <row r="49" spans="1:7" x14ac:dyDescent="0.2">
      <c r="A49" s="8" t="s">
        <v>30</v>
      </c>
      <c r="B49" s="6" t="s">
        <v>12</v>
      </c>
      <c r="C49" s="6"/>
      <c r="D49" s="6"/>
      <c r="E49" s="6">
        <v>5</v>
      </c>
      <c r="G49" s="13"/>
    </row>
    <row r="50" spans="1:7" x14ac:dyDescent="0.2">
      <c r="A50" s="8" t="s">
        <v>31</v>
      </c>
      <c r="B50" s="6" t="s">
        <v>13</v>
      </c>
      <c r="C50" s="6"/>
      <c r="D50" s="6"/>
      <c r="E50" s="6">
        <v>2</v>
      </c>
      <c r="G50" s="13"/>
    </row>
    <row r="51" spans="1:7" x14ac:dyDescent="0.2">
      <c r="A51" s="8" t="s">
        <v>32</v>
      </c>
      <c r="B51" s="6" t="s">
        <v>14</v>
      </c>
      <c r="C51" s="6"/>
      <c r="D51" s="6"/>
      <c r="E51" s="6">
        <v>4</v>
      </c>
      <c r="G51" s="13"/>
    </row>
    <row r="52" spans="1:7" x14ac:dyDescent="0.2">
      <c r="A52" s="8" t="s">
        <v>33</v>
      </c>
      <c r="B52" s="6" t="s">
        <v>15</v>
      </c>
      <c r="C52" s="6"/>
      <c r="D52" s="6"/>
      <c r="E52" s="6">
        <v>3</v>
      </c>
      <c r="G52" s="13"/>
    </row>
    <row r="53" spans="1:7" x14ac:dyDescent="0.2">
      <c r="A53" s="8" t="s">
        <v>34</v>
      </c>
      <c r="B53" s="6" t="s">
        <v>16</v>
      </c>
      <c r="C53" s="6"/>
      <c r="D53" s="6"/>
      <c r="E53" s="6">
        <v>3</v>
      </c>
      <c r="G53" s="13"/>
    </row>
    <row r="54" spans="1:7" x14ac:dyDescent="0.2">
      <c r="A54" s="8" t="s">
        <v>35</v>
      </c>
      <c r="B54" s="6" t="s">
        <v>17</v>
      </c>
      <c r="C54" s="6"/>
      <c r="D54" s="6"/>
      <c r="E54" s="6">
        <v>4</v>
      </c>
      <c r="G54" s="13"/>
    </row>
    <row r="55" spans="1:7" x14ac:dyDescent="0.2">
      <c r="A55" s="8" t="s">
        <v>36</v>
      </c>
      <c r="B55" s="6" t="s">
        <v>18</v>
      </c>
      <c r="C55" s="6"/>
      <c r="D55" s="6"/>
      <c r="E55" s="6">
        <v>5</v>
      </c>
      <c r="G55" s="13"/>
    </row>
    <row r="56" spans="1:7" x14ac:dyDescent="0.2">
      <c r="A56" s="8" t="s">
        <v>37</v>
      </c>
      <c r="B56" s="6" t="s">
        <v>19</v>
      </c>
      <c r="C56" s="6"/>
      <c r="D56" s="6"/>
      <c r="E56" s="6">
        <v>4</v>
      </c>
      <c r="G56" s="13"/>
    </row>
    <row r="57" spans="1:7" x14ac:dyDescent="0.2">
      <c r="A57" s="8" t="s">
        <v>38</v>
      </c>
      <c r="B57" s="6" t="s">
        <v>20</v>
      </c>
      <c r="C57" s="6"/>
      <c r="D57" s="6"/>
      <c r="E57" s="6">
        <v>3</v>
      </c>
      <c r="G57" s="13"/>
    </row>
    <row r="58" spans="1:7" x14ac:dyDescent="0.2">
      <c r="A58" s="8" t="s">
        <v>124</v>
      </c>
      <c r="B58" s="6" t="s">
        <v>21</v>
      </c>
      <c r="C58" s="6"/>
      <c r="D58" s="6"/>
      <c r="E58" s="6">
        <v>3</v>
      </c>
      <c r="G58" s="13"/>
    </row>
    <row r="59" spans="1:7" x14ac:dyDescent="0.2">
      <c r="A59" s="8" t="s">
        <v>123</v>
      </c>
      <c r="B59" s="6" t="s">
        <v>22</v>
      </c>
      <c r="C59" s="6"/>
      <c r="D59" s="6"/>
      <c r="E59" s="6">
        <v>3</v>
      </c>
      <c r="G59" s="13"/>
    </row>
    <row r="62" spans="1:7" x14ac:dyDescent="0.2">
      <c r="A62" s="10" t="s">
        <v>41</v>
      </c>
    </row>
    <row r="63" spans="1:7" x14ac:dyDescent="0.2">
      <c r="A63" s="10"/>
    </row>
    <row r="64" spans="1:7" x14ac:dyDescent="0.2">
      <c r="A64" s="8" t="s">
        <v>104</v>
      </c>
      <c r="C64" s="6" t="s">
        <v>105</v>
      </c>
      <c r="D64" s="6"/>
      <c r="E64" s="6"/>
    </row>
    <row r="65" spans="1:5" x14ac:dyDescent="0.2">
      <c r="A65" s="12" t="s">
        <v>42</v>
      </c>
      <c r="B65" s="6"/>
      <c r="C65" s="6" t="s">
        <v>57</v>
      </c>
      <c r="D65" s="6"/>
      <c r="E65" s="6"/>
    </row>
    <row r="66" spans="1:5" x14ac:dyDescent="0.2">
      <c r="A66" s="12" t="s">
        <v>43</v>
      </c>
      <c r="B66" s="6"/>
      <c r="C66" s="6" t="s">
        <v>58</v>
      </c>
      <c r="D66" s="6"/>
      <c r="E66" s="6"/>
    </row>
    <row r="67" spans="1:5" x14ac:dyDescent="0.2">
      <c r="A67" s="12" t="s">
        <v>44</v>
      </c>
      <c r="B67" s="6"/>
      <c r="C67" s="6" t="s">
        <v>59</v>
      </c>
      <c r="D67" s="6"/>
      <c r="E67" s="6"/>
    </row>
    <row r="68" spans="1:5" x14ac:dyDescent="0.2">
      <c r="A68" s="12" t="s">
        <v>45</v>
      </c>
      <c r="B68" s="6"/>
      <c r="C68" s="6" t="s">
        <v>60</v>
      </c>
      <c r="D68" s="6"/>
      <c r="E68" s="6"/>
    </row>
    <row r="69" spans="1:5" x14ac:dyDescent="0.2">
      <c r="A69" s="12" t="s">
        <v>46</v>
      </c>
      <c r="B69" s="6"/>
      <c r="C69" s="6" t="s">
        <v>61</v>
      </c>
      <c r="D69" s="6"/>
      <c r="E69" s="6"/>
    </row>
    <row r="70" spans="1:5" x14ac:dyDescent="0.2">
      <c r="A70" s="12" t="s">
        <v>47</v>
      </c>
      <c r="B70" s="6"/>
      <c r="C70" s="6" t="s">
        <v>62</v>
      </c>
      <c r="D70" s="6"/>
      <c r="E70" s="6"/>
    </row>
    <row r="71" spans="1:5" x14ac:dyDescent="0.2">
      <c r="A71" s="12" t="s">
        <v>48</v>
      </c>
      <c r="B71" s="6"/>
      <c r="C71" s="6" t="s">
        <v>63</v>
      </c>
      <c r="D71" s="6"/>
      <c r="E71" s="6"/>
    </row>
    <row r="72" spans="1:5" x14ac:dyDescent="0.2">
      <c r="A72" s="12" t="s">
        <v>49</v>
      </c>
      <c r="B72" s="6"/>
      <c r="C72" s="6" t="s">
        <v>64</v>
      </c>
      <c r="D72" s="6"/>
      <c r="E72" s="6"/>
    </row>
    <row r="73" spans="1:5" x14ac:dyDescent="0.2">
      <c r="A73" s="12" t="s">
        <v>50</v>
      </c>
      <c r="B73" s="6"/>
      <c r="C73" s="6" t="s">
        <v>65</v>
      </c>
      <c r="D73" s="6"/>
      <c r="E73" s="6"/>
    </row>
    <row r="74" spans="1:5" x14ac:dyDescent="0.2">
      <c r="A74" s="12" t="s">
        <v>51</v>
      </c>
      <c r="B74" s="6"/>
      <c r="C74" s="6" t="s">
        <v>66</v>
      </c>
      <c r="D74" s="6"/>
      <c r="E74" s="6"/>
    </row>
    <row r="75" spans="1:5" x14ac:dyDescent="0.2">
      <c r="A75" s="12" t="s">
        <v>52</v>
      </c>
      <c r="B75" s="6"/>
      <c r="C75" s="6" t="s">
        <v>67</v>
      </c>
      <c r="D75" s="6"/>
      <c r="E75" s="6"/>
    </row>
    <row r="76" spans="1:5" x14ac:dyDescent="0.2">
      <c r="A76" s="12" t="s">
        <v>53</v>
      </c>
      <c r="B76" s="6"/>
      <c r="C76" s="6" t="s">
        <v>68</v>
      </c>
      <c r="D76" s="6"/>
      <c r="E76" s="6"/>
    </row>
    <row r="77" spans="1:5" x14ac:dyDescent="0.2">
      <c r="A77" s="12" t="s">
        <v>54</v>
      </c>
      <c r="B77" s="6"/>
      <c r="C77" s="6" t="s">
        <v>69</v>
      </c>
      <c r="D77" s="6"/>
      <c r="E77" s="6"/>
    </row>
    <row r="78" spans="1:5" x14ac:dyDescent="0.2">
      <c r="A78" s="12" t="s">
        <v>55</v>
      </c>
      <c r="B78" s="6"/>
      <c r="C78" s="6" t="s">
        <v>70</v>
      </c>
      <c r="D78" s="6"/>
      <c r="E78" s="6"/>
    </row>
    <row r="79" spans="1:5" x14ac:dyDescent="0.2">
      <c r="A79" s="12" t="s">
        <v>56</v>
      </c>
      <c r="B79" s="6"/>
      <c r="C79" s="6" t="s">
        <v>71</v>
      </c>
      <c r="D79" s="6"/>
      <c r="E79" s="6"/>
    </row>
    <row r="80" spans="1:5" x14ac:dyDescent="0.2">
      <c r="A80" s="12" t="s">
        <v>106</v>
      </c>
      <c r="C80" s="6" t="s">
        <v>107</v>
      </c>
      <c r="D80" s="6"/>
    </row>
    <row r="81" spans="1:1" x14ac:dyDescent="0.2">
      <c r="A81" s="11"/>
    </row>
    <row r="82" spans="1:1" x14ac:dyDescent="0.2">
      <c r="A82" s="11"/>
    </row>
    <row r="83" spans="1:1" x14ac:dyDescent="0.2">
      <c r="A83" s="11"/>
    </row>
    <row r="84" spans="1:1" x14ac:dyDescent="0.2">
      <c r="A84" s="11"/>
    </row>
    <row r="85" spans="1:1" x14ac:dyDescent="0.2">
      <c r="A85" s="11"/>
    </row>
    <row r="86" spans="1:1" x14ac:dyDescent="0.2">
      <c r="A86" s="11"/>
    </row>
    <row r="87" spans="1:1" x14ac:dyDescent="0.2">
      <c r="A87" s="11"/>
    </row>
    <row r="88" spans="1:1" x14ac:dyDescent="0.2">
      <c r="A88" s="11"/>
    </row>
    <row r="89" spans="1:1" x14ac:dyDescent="0.2">
      <c r="A89" s="11"/>
    </row>
    <row r="90" spans="1:1" x14ac:dyDescent="0.2">
      <c r="A90" s="11"/>
    </row>
    <row r="91" spans="1:1" x14ac:dyDescent="0.2">
      <c r="A91" s="11"/>
    </row>
    <row r="92" spans="1:1" x14ac:dyDescent="0.2">
      <c r="A92" s="11"/>
    </row>
    <row r="93" spans="1:1" x14ac:dyDescent="0.2">
      <c r="A93" s="11"/>
    </row>
    <row r="94" spans="1:1" x14ac:dyDescent="0.2">
      <c r="A94" s="11"/>
    </row>
    <row r="95" spans="1:1" x14ac:dyDescent="0.2">
      <c r="A95" s="11"/>
    </row>
    <row r="96" spans="1:1" x14ac:dyDescent="0.2">
      <c r="A96" s="11"/>
    </row>
    <row r="97" spans="1:1" x14ac:dyDescent="0.2">
      <c r="A97" s="11"/>
    </row>
    <row r="98" spans="1:1" x14ac:dyDescent="0.2">
      <c r="A98" s="11"/>
    </row>
    <row r="99" spans="1:1" x14ac:dyDescent="0.2">
      <c r="A99" s="11"/>
    </row>
    <row r="100" spans="1:1" x14ac:dyDescent="0.2">
      <c r="A100" s="11"/>
    </row>
    <row r="101" spans="1:1" x14ac:dyDescent="0.2">
      <c r="A101" s="11"/>
    </row>
    <row r="102" spans="1:1" x14ac:dyDescent="0.2">
      <c r="A102" s="11"/>
    </row>
    <row r="103" spans="1:1" x14ac:dyDescent="0.2">
      <c r="A103" s="11"/>
    </row>
    <row r="104" spans="1:1" x14ac:dyDescent="0.2">
      <c r="A104" s="11"/>
    </row>
    <row r="105" spans="1:1" x14ac:dyDescent="0.2">
      <c r="A105" s="11"/>
    </row>
    <row r="106" spans="1:1" x14ac:dyDescent="0.2">
      <c r="A106" s="11"/>
    </row>
    <row r="107" spans="1:1" x14ac:dyDescent="0.2">
      <c r="A107" s="11"/>
    </row>
    <row r="108" spans="1:1" x14ac:dyDescent="0.2">
      <c r="A108" s="11"/>
    </row>
    <row r="109" spans="1:1" x14ac:dyDescent="0.2">
      <c r="A109" s="11"/>
    </row>
    <row r="110" spans="1:1" x14ac:dyDescent="0.2">
      <c r="A110" s="11"/>
    </row>
    <row r="111" spans="1:1" x14ac:dyDescent="0.2">
      <c r="A111" s="11"/>
    </row>
    <row r="112" spans="1:1" x14ac:dyDescent="0.2">
      <c r="A112" s="11"/>
    </row>
    <row r="113" spans="1:1" x14ac:dyDescent="0.2">
      <c r="A113" s="11"/>
    </row>
    <row r="114" spans="1:1" x14ac:dyDescent="0.2">
      <c r="A114" s="11"/>
    </row>
  </sheetData>
  <phoneticPr fontId="0" type="noConversion"/>
  <pageMargins left="0.75" right="0.75" top="1" bottom="1" header="0.5" footer="0.5"/>
  <pageSetup scale="135" orientation="landscape" r:id="rId1"/>
  <headerFooter alignWithMargins="0"/>
  <ignoredErrors>
    <ignoredError sqref="H42" 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52"/>
  <sheetViews>
    <sheetView topLeftCell="A11" workbookViewId="0">
      <selection activeCell="G48" sqref="G48:G51"/>
    </sheetView>
  </sheetViews>
  <sheetFormatPr defaultRowHeight="12.75" x14ac:dyDescent="0.2"/>
  <cols>
    <col min="5" max="5" width="29.140625" bestFit="1" customWidth="1"/>
  </cols>
  <sheetData>
    <row r="1" spans="1:11" x14ac:dyDescent="0.2">
      <c r="A1" s="2"/>
      <c r="B1" s="2"/>
      <c r="C1" s="2"/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1" x14ac:dyDescent="0.2">
      <c r="A2" s="2" t="s">
        <v>0</v>
      </c>
      <c r="B2" s="2" t="s">
        <v>1</v>
      </c>
      <c r="C2" s="2"/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1" ht="13.5" thickBot="1" x14ac:dyDescent="0.25">
      <c r="A3" s="1"/>
      <c r="I3" s="1"/>
      <c r="J3" s="4" t="s">
        <v>6</v>
      </c>
      <c r="K3" s="4" t="s">
        <v>7</v>
      </c>
    </row>
    <row r="4" spans="1:11" x14ac:dyDescent="0.2">
      <c r="A4" s="5">
        <v>39325</v>
      </c>
      <c r="B4" s="6">
        <v>1</v>
      </c>
      <c r="C4" s="8" t="s">
        <v>27</v>
      </c>
      <c r="D4" s="8">
        <v>1</v>
      </c>
      <c r="E4" s="6" t="s">
        <v>9</v>
      </c>
      <c r="F4" s="6">
        <v>6</v>
      </c>
      <c r="G4" s="6">
        <v>0</v>
      </c>
      <c r="H4" s="9">
        <f t="shared" ref="H4:H52" si="0">G4/F4</f>
        <v>0</v>
      </c>
      <c r="I4" s="6">
        <v>0</v>
      </c>
      <c r="J4" s="6">
        <v>0</v>
      </c>
      <c r="K4" s="6">
        <v>0</v>
      </c>
    </row>
    <row r="5" spans="1:11" x14ac:dyDescent="0.2">
      <c r="A5" s="5">
        <v>39332</v>
      </c>
      <c r="B5" s="6">
        <v>2</v>
      </c>
      <c r="C5" s="8" t="s">
        <v>27</v>
      </c>
      <c r="D5" s="8">
        <v>1</v>
      </c>
      <c r="E5" s="6" t="s">
        <v>9</v>
      </c>
      <c r="F5" s="6">
        <v>6</v>
      </c>
      <c r="G5" s="6">
        <v>0</v>
      </c>
      <c r="H5" s="9">
        <f t="shared" si="0"/>
        <v>0</v>
      </c>
      <c r="I5" s="6">
        <v>0</v>
      </c>
      <c r="J5" s="6">
        <v>0</v>
      </c>
      <c r="K5" s="6">
        <v>0</v>
      </c>
    </row>
    <row r="6" spans="1:11" x14ac:dyDescent="0.2">
      <c r="A6" s="5">
        <v>39348</v>
      </c>
      <c r="B6" s="6">
        <v>4</v>
      </c>
      <c r="C6" s="8" t="s">
        <v>27</v>
      </c>
      <c r="D6" s="8">
        <v>1</v>
      </c>
      <c r="E6" s="6" t="s">
        <v>9</v>
      </c>
      <c r="F6" s="6">
        <v>6</v>
      </c>
      <c r="G6" s="6">
        <v>0</v>
      </c>
      <c r="H6" s="9">
        <f t="shared" si="0"/>
        <v>0</v>
      </c>
      <c r="I6" s="6">
        <v>0</v>
      </c>
      <c r="J6" s="6">
        <v>0</v>
      </c>
      <c r="K6" s="6">
        <v>0</v>
      </c>
    </row>
    <row r="7" spans="1:11" x14ac:dyDescent="0.2">
      <c r="A7" s="5">
        <v>39326</v>
      </c>
      <c r="B7" s="6">
        <v>1</v>
      </c>
      <c r="C7" s="8" t="s">
        <v>28</v>
      </c>
      <c r="D7" s="8">
        <v>2</v>
      </c>
      <c r="E7" s="6" t="s">
        <v>10</v>
      </c>
      <c r="F7" s="6">
        <v>3</v>
      </c>
      <c r="G7" s="6">
        <v>4</v>
      </c>
      <c r="H7" s="9">
        <f t="shared" si="0"/>
        <v>1.3333333333333333</v>
      </c>
      <c r="I7" s="6">
        <v>8</v>
      </c>
      <c r="J7" s="6">
        <v>0</v>
      </c>
      <c r="K7" s="6">
        <v>0</v>
      </c>
    </row>
    <row r="8" spans="1:11" x14ac:dyDescent="0.2">
      <c r="A8" s="5">
        <v>39348</v>
      </c>
      <c r="B8" s="6">
        <v>4</v>
      </c>
      <c r="C8" s="8" t="s">
        <v>28</v>
      </c>
      <c r="D8" s="8">
        <v>2</v>
      </c>
      <c r="E8" s="6" t="s">
        <v>10</v>
      </c>
      <c r="F8" s="6">
        <v>3</v>
      </c>
      <c r="G8" s="6">
        <v>0</v>
      </c>
      <c r="H8" s="9">
        <f t="shared" si="0"/>
        <v>0</v>
      </c>
      <c r="I8" s="6">
        <v>0</v>
      </c>
      <c r="J8" s="6">
        <v>0</v>
      </c>
      <c r="K8" s="6">
        <v>1</v>
      </c>
    </row>
    <row r="9" spans="1:11" x14ac:dyDescent="0.2">
      <c r="A9" s="5">
        <v>39353</v>
      </c>
      <c r="B9" s="6">
        <v>5</v>
      </c>
      <c r="C9" s="8" t="s">
        <v>28</v>
      </c>
      <c r="D9" s="8">
        <v>2</v>
      </c>
      <c r="E9" s="6" t="s">
        <v>10</v>
      </c>
      <c r="F9" s="6">
        <v>3</v>
      </c>
      <c r="G9" s="6">
        <v>0</v>
      </c>
      <c r="H9" s="9">
        <f t="shared" si="0"/>
        <v>0</v>
      </c>
      <c r="I9" s="6">
        <v>0</v>
      </c>
      <c r="J9" s="6">
        <v>0</v>
      </c>
      <c r="K9" s="6">
        <v>0</v>
      </c>
    </row>
    <row r="10" spans="1:11" x14ac:dyDescent="0.2">
      <c r="A10" s="5">
        <v>39326</v>
      </c>
      <c r="B10" s="6">
        <v>1</v>
      </c>
      <c r="C10" s="8" t="s">
        <v>29</v>
      </c>
      <c r="D10" s="8">
        <v>3</v>
      </c>
      <c r="E10" s="6" t="s">
        <v>11</v>
      </c>
      <c r="F10" s="6">
        <v>2</v>
      </c>
      <c r="G10" s="6">
        <v>1</v>
      </c>
      <c r="H10" s="9">
        <f t="shared" si="0"/>
        <v>0.5</v>
      </c>
      <c r="I10" s="6">
        <v>2</v>
      </c>
      <c r="J10" s="6">
        <v>0</v>
      </c>
      <c r="K10" s="6">
        <v>0</v>
      </c>
    </row>
    <row r="11" spans="1:11" x14ac:dyDescent="0.2">
      <c r="A11" s="5">
        <v>39332</v>
      </c>
      <c r="B11" s="6">
        <v>2</v>
      </c>
      <c r="C11" s="8" t="s">
        <v>29</v>
      </c>
      <c r="D11" s="8">
        <v>3</v>
      </c>
      <c r="E11" s="6" t="s">
        <v>11</v>
      </c>
      <c r="F11" s="6">
        <v>2</v>
      </c>
      <c r="G11" s="6">
        <v>3</v>
      </c>
      <c r="H11" s="9">
        <f t="shared" si="0"/>
        <v>1.5</v>
      </c>
      <c r="I11" s="6">
        <v>8</v>
      </c>
      <c r="J11" s="6">
        <v>0</v>
      </c>
      <c r="K11" s="6">
        <v>1</v>
      </c>
    </row>
    <row r="12" spans="1:11" x14ac:dyDescent="0.2">
      <c r="A12" s="5">
        <v>39340</v>
      </c>
      <c r="B12" s="6">
        <v>3</v>
      </c>
      <c r="C12" s="8" t="s">
        <v>29</v>
      </c>
      <c r="D12" s="8">
        <v>3</v>
      </c>
      <c r="E12" s="6" t="s">
        <v>11</v>
      </c>
      <c r="F12" s="6">
        <v>2</v>
      </c>
      <c r="G12" s="6">
        <v>5</v>
      </c>
      <c r="H12" s="9">
        <f t="shared" si="0"/>
        <v>2.5</v>
      </c>
      <c r="I12" s="6">
        <v>4</v>
      </c>
      <c r="J12" s="6">
        <v>0</v>
      </c>
      <c r="K12" s="6">
        <v>0</v>
      </c>
    </row>
    <row r="13" spans="1:11" x14ac:dyDescent="0.2">
      <c r="A13" s="5">
        <v>39348</v>
      </c>
      <c r="B13" s="6">
        <v>4</v>
      </c>
      <c r="C13" s="8" t="s">
        <v>29</v>
      </c>
      <c r="D13" s="8">
        <v>3</v>
      </c>
      <c r="E13" s="6" t="s">
        <v>11</v>
      </c>
      <c r="F13" s="6">
        <v>2</v>
      </c>
      <c r="G13" s="6">
        <v>0</v>
      </c>
      <c r="H13" s="9">
        <f t="shared" si="0"/>
        <v>0</v>
      </c>
      <c r="I13" s="6">
        <v>0</v>
      </c>
      <c r="J13" s="6">
        <v>0</v>
      </c>
      <c r="K13" s="6">
        <v>0</v>
      </c>
    </row>
    <row r="14" spans="1:11" x14ac:dyDescent="0.2">
      <c r="A14" s="5">
        <v>39353</v>
      </c>
      <c r="B14" s="6">
        <v>5</v>
      </c>
      <c r="C14" s="8" t="s">
        <v>29</v>
      </c>
      <c r="D14" s="8">
        <v>3</v>
      </c>
      <c r="E14" s="6" t="s">
        <v>11</v>
      </c>
      <c r="F14" s="6">
        <v>2</v>
      </c>
      <c r="G14" s="6">
        <v>0</v>
      </c>
      <c r="H14" s="9">
        <f t="shared" si="0"/>
        <v>0</v>
      </c>
      <c r="I14" s="6">
        <v>0</v>
      </c>
      <c r="J14" s="6">
        <v>0</v>
      </c>
      <c r="K14" s="6">
        <v>0</v>
      </c>
    </row>
    <row r="15" spans="1:11" x14ac:dyDescent="0.2">
      <c r="A15" s="5">
        <v>39326</v>
      </c>
      <c r="B15" s="6">
        <v>1</v>
      </c>
      <c r="C15" s="8" t="s">
        <v>30</v>
      </c>
      <c r="D15" s="8">
        <v>4</v>
      </c>
      <c r="E15" s="6" t="s">
        <v>12</v>
      </c>
      <c r="F15" s="6">
        <v>5</v>
      </c>
      <c r="G15" s="6">
        <v>0</v>
      </c>
      <c r="H15" s="9">
        <f t="shared" si="0"/>
        <v>0</v>
      </c>
      <c r="I15" s="6">
        <v>1</v>
      </c>
      <c r="J15" s="6">
        <v>0</v>
      </c>
      <c r="K15" s="6">
        <v>0</v>
      </c>
    </row>
    <row r="16" spans="1:11" x14ac:dyDescent="0.2">
      <c r="A16" s="5">
        <v>39332</v>
      </c>
      <c r="B16" s="6">
        <v>2</v>
      </c>
      <c r="C16" s="8" t="s">
        <v>30</v>
      </c>
      <c r="D16" s="8">
        <v>4</v>
      </c>
      <c r="E16" s="6" t="s">
        <v>12</v>
      </c>
      <c r="F16" s="6">
        <v>5</v>
      </c>
      <c r="G16" s="6">
        <v>0</v>
      </c>
      <c r="H16" s="9">
        <f t="shared" si="0"/>
        <v>0</v>
      </c>
      <c r="I16" s="6">
        <v>0</v>
      </c>
      <c r="J16" s="6">
        <v>0</v>
      </c>
      <c r="K16" s="6">
        <v>0</v>
      </c>
    </row>
    <row r="17" spans="1:11" x14ac:dyDescent="0.2">
      <c r="A17" s="5">
        <v>39340</v>
      </c>
      <c r="B17" s="6">
        <v>3</v>
      </c>
      <c r="C17" s="8" t="s">
        <v>30</v>
      </c>
      <c r="D17" s="8">
        <v>4</v>
      </c>
      <c r="E17" s="6" t="s">
        <v>12</v>
      </c>
      <c r="F17" s="6">
        <v>5</v>
      </c>
      <c r="G17" s="6">
        <v>5</v>
      </c>
      <c r="H17" s="9">
        <f t="shared" si="0"/>
        <v>1</v>
      </c>
      <c r="I17" s="6">
        <v>12</v>
      </c>
      <c r="J17" s="6">
        <v>0</v>
      </c>
      <c r="K17" s="6">
        <v>0</v>
      </c>
    </row>
    <row r="18" spans="1:11" x14ac:dyDescent="0.2">
      <c r="A18" s="5">
        <v>39348</v>
      </c>
      <c r="B18" s="6">
        <v>4</v>
      </c>
      <c r="C18" s="8" t="s">
        <v>30</v>
      </c>
      <c r="D18" s="8">
        <v>4</v>
      </c>
      <c r="E18" s="6" t="s">
        <v>12</v>
      </c>
      <c r="F18" s="6">
        <v>5</v>
      </c>
      <c r="G18" s="6">
        <v>2</v>
      </c>
      <c r="H18" s="9">
        <f t="shared" si="0"/>
        <v>0.4</v>
      </c>
      <c r="I18" s="6">
        <v>2</v>
      </c>
      <c r="J18" s="6">
        <v>0</v>
      </c>
      <c r="K18" s="6">
        <v>0</v>
      </c>
    </row>
    <row r="19" spans="1:11" x14ac:dyDescent="0.2">
      <c r="A19" s="5">
        <v>39353</v>
      </c>
      <c r="B19" s="6">
        <v>5</v>
      </c>
      <c r="C19" s="8" t="s">
        <v>30</v>
      </c>
      <c r="D19" s="8">
        <v>4</v>
      </c>
      <c r="E19" s="6" t="s">
        <v>12</v>
      </c>
      <c r="F19" s="6">
        <v>5</v>
      </c>
      <c r="G19" s="6">
        <v>0</v>
      </c>
      <c r="H19" s="9">
        <f t="shared" si="0"/>
        <v>0</v>
      </c>
      <c r="I19" s="6">
        <v>0</v>
      </c>
      <c r="J19" s="6">
        <v>0</v>
      </c>
      <c r="K19" s="6">
        <v>0</v>
      </c>
    </row>
    <row r="20" spans="1:11" x14ac:dyDescent="0.2">
      <c r="A20" s="5">
        <v>39326</v>
      </c>
      <c r="B20" s="6">
        <v>1</v>
      </c>
      <c r="C20" s="8" t="s">
        <v>31</v>
      </c>
      <c r="D20" s="8">
        <v>5</v>
      </c>
      <c r="E20" s="6" t="s">
        <v>13</v>
      </c>
      <c r="F20" s="6">
        <v>2</v>
      </c>
      <c r="G20" s="6">
        <v>0</v>
      </c>
      <c r="H20" s="9">
        <f t="shared" si="0"/>
        <v>0</v>
      </c>
      <c r="I20" s="6">
        <v>1</v>
      </c>
      <c r="J20" s="6">
        <v>0</v>
      </c>
      <c r="K20" s="6">
        <v>0</v>
      </c>
    </row>
    <row r="21" spans="1:11" x14ac:dyDescent="0.2">
      <c r="A21" s="5">
        <v>39332</v>
      </c>
      <c r="B21" s="6">
        <v>2</v>
      </c>
      <c r="C21" s="8" t="s">
        <v>31</v>
      </c>
      <c r="D21" s="8">
        <v>5</v>
      </c>
      <c r="E21" s="6" t="s">
        <v>13</v>
      </c>
      <c r="F21" s="6">
        <v>2</v>
      </c>
      <c r="G21" s="6">
        <v>2</v>
      </c>
      <c r="H21" s="9">
        <f t="shared" si="0"/>
        <v>1</v>
      </c>
      <c r="I21" s="6">
        <v>6</v>
      </c>
      <c r="J21" s="6">
        <v>0</v>
      </c>
      <c r="K21" s="6">
        <v>0</v>
      </c>
    </row>
    <row r="22" spans="1:11" x14ac:dyDescent="0.2">
      <c r="A22" s="5">
        <v>39339</v>
      </c>
      <c r="B22" s="6">
        <v>3</v>
      </c>
      <c r="C22" s="8" t="s">
        <v>31</v>
      </c>
      <c r="D22" s="8">
        <v>5</v>
      </c>
      <c r="E22" s="6" t="s">
        <v>13</v>
      </c>
      <c r="F22" s="6">
        <v>2</v>
      </c>
      <c r="G22" s="6">
        <v>0</v>
      </c>
      <c r="H22" s="9">
        <f t="shared" si="0"/>
        <v>0</v>
      </c>
      <c r="I22" s="6">
        <v>5</v>
      </c>
      <c r="J22" s="6">
        <v>1</v>
      </c>
      <c r="K22" s="6">
        <v>0</v>
      </c>
    </row>
    <row r="23" spans="1:11" x14ac:dyDescent="0.2">
      <c r="A23" s="5">
        <v>39347</v>
      </c>
      <c r="B23" s="6">
        <v>4</v>
      </c>
      <c r="C23" s="8" t="s">
        <v>31</v>
      </c>
      <c r="D23" s="8">
        <v>5</v>
      </c>
      <c r="E23" s="6" t="s">
        <v>13</v>
      </c>
      <c r="F23" s="6">
        <v>2</v>
      </c>
      <c r="G23" s="6">
        <v>2</v>
      </c>
      <c r="H23" s="9">
        <f t="shared" si="0"/>
        <v>1</v>
      </c>
      <c r="I23" s="6">
        <v>1</v>
      </c>
      <c r="J23" s="6">
        <v>0</v>
      </c>
      <c r="K23" s="6">
        <v>0</v>
      </c>
    </row>
    <row r="24" spans="1:11" x14ac:dyDescent="0.2">
      <c r="A24" s="5">
        <v>39353</v>
      </c>
      <c r="B24" s="6">
        <v>5</v>
      </c>
      <c r="C24" s="8" t="s">
        <v>31</v>
      </c>
      <c r="D24" s="8">
        <v>5</v>
      </c>
      <c r="E24" s="6" t="s">
        <v>13</v>
      </c>
      <c r="F24" s="6">
        <v>2</v>
      </c>
      <c r="G24" s="6">
        <v>1</v>
      </c>
      <c r="H24" s="9">
        <f t="shared" si="0"/>
        <v>0.5</v>
      </c>
      <c r="I24" s="6">
        <v>0</v>
      </c>
      <c r="J24" s="6">
        <v>0</v>
      </c>
      <c r="K24" s="6">
        <v>0</v>
      </c>
    </row>
    <row r="25" spans="1:11" x14ac:dyDescent="0.2">
      <c r="A25" s="5">
        <v>39326</v>
      </c>
      <c r="B25" s="6">
        <v>1</v>
      </c>
      <c r="C25" s="8" t="s">
        <v>32</v>
      </c>
      <c r="D25" s="8">
        <v>6</v>
      </c>
      <c r="E25" s="6" t="s">
        <v>14</v>
      </c>
      <c r="F25" s="6">
        <v>4</v>
      </c>
      <c r="G25" s="6">
        <v>0</v>
      </c>
      <c r="H25" s="9">
        <f t="shared" si="0"/>
        <v>0</v>
      </c>
      <c r="I25" s="6">
        <v>2</v>
      </c>
      <c r="J25" s="6">
        <v>0</v>
      </c>
      <c r="K25" s="6">
        <v>0</v>
      </c>
    </row>
    <row r="26" spans="1:11" x14ac:dyDescent="0.2">
      <c r="A26" s="5">
        <v>39332</v>
      </c>
      <c r="B26" s="6">
        <v>2</v>
      </c>
      <c r="C26" s="8" t="s">
        <v>32</v>
      </c>
      <c r="D26" s="8">
        <v>6</v>
      </c>
      <c r="E26" s="6" t="s">
        <v>14</v>
      </c>
      <c r="F26" s="6">
        <v>4</v>
      </c>
      <c r="G26" s="6">
        <v>4</v>
      </c>
      <c r="H26" s="9">
        <f t="shared" si="0"/>
        <v>1</v>
      </c>
      <c r="I26" s="6">
        <v>0</v>
      </c>
      <c r="J26" s="6">
        <v>0</v>
      </c>
      <c r="K26" s="6">
        <v>0</v>
      </c>
    </row>
    <row r="27" spans="1:11" x14ac:dyDescent="0.2">
      <c r="A27" s="5">
        <v>39339</v>
      </c>
      <c r="B27" s="6">
        <v>3</v>
      </c>
      <c r="C27" s="8" t="s">
        <v>32</v>
      </c>
      <c r="D27" s="8">
        <v>6</v>
      </c>
      <c r="E27" s="6" t="s">
        <v>14</v>
      </c>
      <c r="F27" s="6">
        <v>4</v>
      </c>
      <c r="G27" s="6">
        <v>7</v>
      </c>
      <c r="H27" s="9">
        <f t="shared" si="0"/>
        <v>1.75</v>
      </c>
      <c r="I27" s="6">
        <v>7</v>
      </c>
      <c r="J27" s="6">
        <v>0</v>
      </c>
      <c r="K27" s="6">
        <v>0</v>
      </c>
    </row>
    <row r="28" spans="1:11" x14ac:dyDescent="0.2">
      <c r="A28" s="5">
        <v>39347</v>
      </c>
      <c r="B28" s="6">
        <v>4</v>
      </c>
      <c r="C28" s="8" t="s">
        <v>32</v>
      </c>
      <c r="D28" s="8">
        <v>6</v>
      </c>
      <c r="E28" s="6" t="s">
        <v>14</v>
      </c>
      <c r="F28" s="6">
        <v>4</v>
      </c>
      <c r="G28" s="6">
        <v>2</v>
      </c>
      <c r="H28" s="9">
        <f t="shared" si="0"/>
        <v>0.5</v>
      </c>
      <c r="I28" s="6">
        <v>2</v>
      </c>
      <c r="J28" s="6">
        <v>1</v>
      </c>
      <c r="K28" s="6">
        <v>2</v>
      </c>
    </row>
    <row r="29" spans="1:11" x14ac:dyDescent="0.2">
      <c r="A29" s="5">
        <v>39353</v>
      </c>
      <c r="B29" s="6">
        <v>5</v>
      </c>
      <c r="C29" s="8" t="s">
        <v>32</v>
      </c>
      <c r="D29" s="8">
        <v>6</v>
      </c>
      <c r="E29" s="6" t="s">
        <v>14</v>
      </c>
      <c r="F29" s="6">
        <v>4</v>
      </c>
      <c r="G29" s="6">
        <v>0</v>
      </c>
      <c r="H29" s="9">
        <f t="shared" si="0"/>
        <v>0</v>
      </c>
      <c r="I29" s="6">
        <v>1</v>
      </c>
      <c r="J29" s="6">
        <v>0</v>
      </c>
      <c r="K29" s="6">
        <v>1</v>
      </c>
    </row>
    <row r="30" spans="1:11" x14ac:dyDescent="0.2">
      <c r="A30" s="5">
        <v>39326</v>
      </c>
      <c r="B30" s="6">
        <v>1</v>
      </c>
      <c r="C30" s="8" t="s">
        <v>33</v>
      </c>
      <c r="D30" s="8">
        <v>7</v>
      </c>
      <c r="E30" s="6" t="s">
        <v>15</v>
      </c>
      <c r="F30" s="6">
        <v>3</v>
      </c>
      <c r="G30" s="6">
        <v>0</v>
      </c>
      <c r="H30" s="9">
        <f t="shared" si="0"/>
        <v>0</v>
      </c>
      <c r="I30" s="6">
        <v>0</v>
      </c>
      <c r="J30" s="6">
        <v>1</v>
      </c>
      <c r="K30" s="6">
        <v>0</v>
      </c>
    </row>
    <row r="31" spans="1:11" x14ac:dyDescent="0.2">
      <c r="A31" s="5">
        <v>39332</v>
      </c>
      <c r="B31" s="6">
        <v>2</v>
      </c>
      <c r="C31" s="8" t="s">
        <v>33</v>
      </c>
      <c r="D31" s="8">
        <v>7</v>
      </c>
      <c r="E31" s="6" t="s">
        <v>15</v>
      </c>
      <c r="F31" s="6">
        <v>3</v>
      </c>
      <c r="G31" s="6">
        <v>3</v>
      </c>
      <c r="H31" s="9">
        <f t="shared" si="0"/>
        <v>1</v>
      </c>
      <c r="I31" s="6">
        <v>7</v>
      </c>
      <c r="J31" s="6">
        <v>0</v>
      </c>
      <c r="K31" s="6">
        <v>0</v>
      </c>
    </row>
    <row r="32" spans="1:11" x14ac:dyDescent="0.2">
      <c r="A32" s="5">
        <v>39339</v>
      </c>
      <c r="B32" s="6">
        <v>3</v>
      </c>
      <c r="C32" s="8" t="s">
        <v>33</v>
      </c>
      <c r="D32" s="8">
        <v>7</v>
      </c>
      <c r="E32" s="6" t="s">
        <v>15</v>
      </c>
      <c r="F32" s="6">
        <v>3</v>
      </c>
      <c r="G32" s="6">
        <v>5</v>
      </c>
      <c r="H32" s="9">
        <f t="shared" si="0"/>
        <v>1.6666666666666667</v>
      </c>
      <c r="I32" s="6">
        <v>4</v>
      </c>
      <c r="J32" s="6">
        <v>0</v>
      </c>
      <c r="K32" s="6">
        <v>5</v>
      </c>
    </row>
    <row r="33" spans="1:11" x14ac:dyDescent="0.2">
      <c r="A33" s="5">
        <v>39347</v>
      </c>
      <c r="B33" s="6">
        <v>4</v>
      </c>
      <c r="C33" s="8" t="s">
        <v>33</v>
      </c>
      <c r="D33" s="8">
        <v>7</v>
      </c>
      <c r="E33" s="6" t="s">
        <v>15</v>
      </c>
      <c r="F33" s="6">
        <v>3</v>
      </c>
      <c r="G33" s="6">
        <v>0</v>
      </c>
      <c r="H33" s="9">
        <f t="shared" si="0"/>
        <v>0</v>
      </c>
      <c r="I33" s="6">
        <v>0</v>
      </c>
      <c r="J33" s="6">
        <v>4</v>
      </c>
      <c r="K33" s="6">
        <v>3</v>
      </c>
    </row>
    <row r="34" spans="1:11" x14ac:dyDescent="0.2">
      <c r="A34" s="5">
        <v>39353</v>
      </c>
      <c r="B34" s="6">
        <v>5</v>
      </c>
      <c r="C34" s="8" t="s">
        <v>33</v>
      </c>
      <c r="D34" s="8">
        <v>7</v>
      </c>
      <c r="E34" s="6" t="s">
        <v>15</v>
      </c>
      <c r="F34" s="6">
        <v>3</v>
      </c>
      <c r="G34" s="6">
        <v>0</v>
      </c>
      <c r="H34" s="9">
        <f t="shared" si="0"/>
        <v>0</v>
      </c>
      <c r="I34" s="6">
        <v>0</v>
      </c>
      <c r="J34" s="6">
        <v>0</v>
      </c>
      <c r="K34" s="6">
        <v>0</v>
      </c>
    </row>
    <row r="35" spans="1:11" x14ac:dyDescent="0.2">
      <c r="A35" s="5">
        <v>39326</v>
      </c>
      <c r="B35" s="6">
        <v>1</v>
      </c>
      <c r="C35" s="8" t="s">
        <v>34</v>
      </c>
      <c r="D35" s="8">
        <v>8</v>
      </c>
      <c r="E35" s="6" t="s">
        <v>16</v>
      </c>
      <c r="F35" s="6">
        <v>3</v>
      </c>
      <c r="G35" s="6">
        <v>3</v>
      </c>
      <c r="H35" s="9">
        <f t="shared" si="0"/>
        <v>1</v>
      </c>
      <c r="I35" s="6">
        <v>1</v>
      </c>
      <c r="J35" s="6">
        <v>1</v>
      </c>
      <c r="K35" s="6">
        <v>0</v>
      </c>
    </row>
    <row r="36" spans="1:11" x14ac:dyDescent="0.2">
      <c r="A36" s="5">
        <v>39332</v>
      </c>
      <c r="B36" s="6">
        <v>2</v>
      </c>
      <c r="C36" s="8" t="s">
        <v>34</v>
      </c>
      <c r="D36" s="8">
        <v>8</v>
      </c>
      <c r="E36" s="6" t="s">
        <v>16</v>
      </c>
      <c r="F36" s="6">
        <v>3</v>
      </c>
      <c r="G36" s="6">
        <v>4</v>
      </c>
      <c r="H36" s="9">
        <f t="shared" si="0"/>
        <v>1.3333333333333333</v>
      </c>
      <c r="I36" s="6">
        <v>10</v>
      </c>
      <c r="J36" s="6">
        <v>0</v>
      </c>
      <c r="K36" s="6">
        <v>0</v>
      </c>
    </row>
    <row r="37" spans="1:11" x14ac:dyDescent="0.2">
      <c r="A37" s="5">
        <v>39339</v>
      </c>
      <c r="B37" s="6">
        <v>3</v>
      </c>
      <c r="C37" s="8" t="s">
        <v>34</v>
      </c>
      <c r="D37" s="8">
        <v>8</v>
      </c>
      <c r="E37" s="6" t="s">
        <v>16</v>
      </c>
      <c r="F37" s="6">
        <v>3</v>
      </c>
      <c r="G37" s="6">
        <v>12</v>
      </c>
      <c r="H37" s="9">
        <f t="shared" si="0"/>
        <v>4</v>
      </c>
      <c r="I37" s="6">
        <v>24</v>
      </c>
      <c r="J37" s="6">
        <v>1</v>
      </c>
      <c r="K37" s="6">
        <v>4</v>
      </c>
    </row>
    <row r="38" spans="1:11" x14ac:dyDescent="0.2">
      <c r="A38" s="5">
        <v>39347</v>
      </c>
      <c r="B38" s="6">
        <v>4</v>
      </c>
      <c r="C38" s="8" t="s">
        <v>34</v>
      </c>
      <c r="D38" s="8">
        <v>8</v>
      </c>
      <c r="E38" s="6" t="s">
        <v>16</v>
      </c>
      <c r="F38" s="6">
        <v>3</v>
      </c>
      <c r="G38" s="6">
        <v>8</v>
      </c>
      <c r="H38" s="9">
        <f t="shared" si="0"/>
        <v>2.6666666666666665</v>
      </c>
      <c r="I38" s="6">
        <v>7</v>
      </c>
      <c r="J38" s="6">
        <v>1</v>
      </c>
      <c r="K38" s="6">
        <v>13</v>
      </c>
    </row>
    <row r="39" spans="1:11" x14ac:dyDescent="0.2">
      <c r="A39" s="5">
        <v>39353</v>
      </c>
      <c r="B39" s="6">
        <v>5</v>
      </c>
      <c r="C39" s="8" t="s">
        <v>34</v>
      </c>
      <c r="D39" s="8">
        <v>8</v>
      </c>
      <c r="E39" s="6" t="s">
        <v>16</v>
      </c>
      <c r="F39" s="6">
        <v>3</v>
      </c>
      <c r="G39" s="6">
        <v>2</v>
      </c>
      <c r="H39" s="9">
        <f t="shared" si="0"/>
        <v>0.66666666666666663</v>
      </c>
      <c r="I39" s="6">
        <v>2</v>
      </c>
      <c r="J39" s="6">
        <v>0</v>
      </c>
      <c r="K39" s="6">
        <v>4</v>
      </c>
    </row>
    <row r="40" spans="1:11" x14ac:dyDescent="0.2">
      <c r="A40" s="5">
        <v>39332</v>
      </c>
      <c r="B40" s="6">
        <v>1</v>
      </c>
      <c r="C40" s="8" t="s">
        <v>35</v>
      </c>
      <c r="D40" s="8">
        <v>9</v>
      </c>
      <c r="E40" s="6" t="s">
        <v>17</v>
      </c>
      <c r="F40" s="6">
        <v>4</v>
      </c>
      <c r="G40" s="6">
        <v>0</v>
      </c>
      <c r="H40" s="9">
        <f t="shared" si="0"/>
        <v>0</v>
      </c>
      <c r="I40" s="6">
        <v>2</v>
      </c>
      <c r="J40" s="6">
        <v>0</v>
      </c>
      <c r="K40" s="6">
        <v>0</v>
      </c>
    </row>
    <row r="41" spans="1:11" x14ac:dyDescent="0.2">
      <c r="A41" s="5">
        <v>39339</v>
      </c>
      <c r="B41" s="6">
        <v>2</v>
      </c>
      <c r="C41" s="8" t="s">
        <v>35</v>
      </c>
      <c r="D41" s="8">
        <v>9</v>
      </c>
      <c r="E41" s="6" t="s">
        <v>17</v>
      </c>
      <c r="F41" s="6">
        <v>4</v>
      </c>
      <c r="G41" s="6">
        <v>7</v>
      </c>
      <c r="H41" s="9">
        <f t="shared" si="0"/>
        <v>1.75</v>
      </c>
      <c r="I41" s="6">
        <v>15</v>
      </c>
      <c r="J41" s="6">
        <v>0</v>
      </c>
      <c r="K41" s="6">
        <v>0</v>
      </c>
    </row>
    <row r="42" spans="1:11" x14ac:dyDescent="0.2">
      <c r="A42" s="5">
        <v>39346</v>
      </c>
      <c r="B42" s="6">
        <v>3</v>
      </c>
      <c r="C42" s="8" t="s">
        <v>35</v>
      </c>
      <c r="D42" s="8">
        <v>9</v>
      </c>
      <c r="E42" s="6" t="s">
        <v>17</v>
      </c>
      <c r="F42" s="6">
        <v>4</v>
      </c>
      <c r="G42" s="6">
        <v>6</v>
      </c>
      <c r="H42" s="9">
        <f t="shared" si="0"/>
        <v>1.5</v>
      </c>
      <c r="I42" s="6">
        <v>12</v>
      </c>
      <c r="J42" s="6">
        <v>0</v>
      </c>
      <c r="K42" s="6">
        <v>2</v>
      </c>
    </row>
    <row r="43" spans="1:11" x14ac:dyDescent="0.2">
      <c r="A43" s="5">
        <v>39353</v>
      </c>
      <c r="B43" s="6">
        <v>4</v>
      </c>
      <c r="C43" s="8" t="s">
        <v>35</v>
      </c>
      <c r="D43" s="8">
        <v>9</v>
      </c>
      <c r="E43" s="6" t="s">
        <v>17</v>
      </c>
      <c r="F43" s="6">
        <v>4</v>
      </c>
      <c r="G43" s="6">
        <v>1</v>
      </c>
      <c r="H43" s="9">
        <f t="shared" si="0"/>
        <v>0.25</v>
      </c>
      <c r="I43" s="6">
        <v>1</v>
      </c>
      <c r="J43" s="6">
        <v>0</v>
      </c>
      <c r="K43" s="6">
        <v>3</v>
      </c>
    </row>
    <row r="44" spans="1:11" x14ac:dyDescent="0.2">
      <c r="A44" s="5">
        <v>39339</v>
      </c>
      <c r="B44" s="6">
        <v>1</v>
      </c>
      <c r="C44" s="8" t="s">
        <v>36</v>
      </c>
      <c r="D44" s="8">
        <v>10</v>
      </c>
      <c r="E44" s="6" t="s">
        <v>18</v>
      </c>
      <c r="F44" s="6">
        <v>5</v>
      </c>
      <c r="G44" s="6">
        <v>4</v>
      </c>
      <c r="H44" s="9">
        <f t="shared" si="0"/>
        <v>0.8</v>
      </c>
      <c r="I44" s="6">
        <v>3</v>
      </c>
      <c r="J44" s="6">
        <v>0</v>
      </c>
      <c r="K44" s="6">
        <v>0</v>
      </c>
    </row>
    <row r="45" spans="1:11" x14ac:dyDescent="0.2">
      <c r="A45" s="5">
        <v>39346</v>
      </c>
      <c r="B45" s="6">
        <v>2</v>
      </c>
      <c r="C45" s="8" t="s">
        <v>36</v>
      </c>
      <c r="D45" s="8">
        <v>10</v>
      </c>
      <c r="E45" s="6" t="s">
        <v>18</v>
      </c>
      <c r="F45" s="6">
        <v>5</v>
      </c>
      <c r="G45" s="6">
        <v>4</v>
      </c>
      <c r="H45" s="9">
        <f t="shared" si="0"/>
        <v>0.8</v>
      </c>
      <c r="I45" s="6">
        <v>5</v>
      </c>
      <c r="J45" s="6">
        <v>0</v>
      </c>
      <c r="K45" s="6">
        <v>1</v>
      </c>
    </row>
    <row r="46" spans="1:11" x14ac:dyDescent="0.2">
      <c r="A46" s="5">
        <v>39353</v>
      </c>
      <c r="B46" s="6">
        <v>3</v>
      </c>
      <c r="C46" s="8" t="s">
        <v>36</v>
      </c>
      <c r="D46" s="8">
        <v>10</v>
      </c>
      <c r="E46" s="6" t="s">
        <v>18</v>
      </c>
      <c r="F46" s="6">
        <v>5</v>
      </c>
      <c r="G46" s="6">
        <v>0</v>
      </c>
      <c r="H46" s="9">
        <f t="shared" si="0"/>
        <v>0</v>
      </c>
      <c r="I46" s="6">
        <v>0</v>
      </c>
      <c r="J46" s="6">
        <v>0</v>
      </c>
      <c r="K46" s="6">
        <v>1</v>
      </c>
    </row>
    <row r="47" spans="1:11" x14ac:dyDescent="0.2">
      <c r="A47" s="5">
        <v>39347</v>
      </c>
      <c r="B47" s="6">
        <v>1</v>
      </c>
      <c r="C47" s="8" t="s">
        <v>37</v>
      </c>
      <c r="D47" s="8">
        <v>11</v>
      </c>
      <c r="E47" s="6" t="s">
        <v>19</v>
      </c>
      <c r="F47" s="6">
        <v>4</v>
      </c>
      <c r="G47" s="6">
        <v>5</v>
      </c>
      <c r="H47" s="9">
        <f t="shared" si="0"/>
        <v>1.25</v>
      </c>
      <c r="I47" s="6">
        <v>6</v>
      </c>
      <c r="J47" s="6">
        <v>0</v>
      </c>
      <c r="K47" s="6">
        <v>0</v>
      </c>
    </row>
    <row r="48" spans="1:11" x14ac:dyDescent="0.2">
      <c r="A48" s="5">
        <v>39347</v>
      </c>
      <c r="B48" s="6">
        <v>1</v>
      </c>
      <c r="C48" s="8" t="s">
        <v>124</v>
      </c>
      <c r="D48" s="8">
        <v>13</v>
      </c>
      <c r="E48" s="6" t="s">
        <v>21</v>
      </c>
      <c r="F48" s="6">
        <v>3</v>
      </c>
      <c r="G48" s="6">
        <v>3</v>
      </c>
      <c r="H48" s="9">
        <f t="shared" si="0"/>
        <v>1</v>
      </c>
      <c r="I48" s="6">
        <v>0</v>
      </c>
      <c r="J48" s="6">
        <v>0</v>
      </c>
      <c r="K48" s="6">
        <v>0</v>
      </c>
    </row>
    <row r="49" spans="1:11" x14ac:dyDescent="0.2">
      <c r="A49" s="5">
        <v>39354</v>
      </c>
      <c r="B49" s="6">
        <v>2</v>
      </c>
      <c r="C49" s="8" t="s">
        <v>124</v>
      </c>
      <c r="D49" s="8">
        <v>13</v>
      </c>
      <c r="E49" s="6" t="s">
        <v>21</v>
      </c>
      <c r="F49" s="6">
        <v>3</v>
      </c>
      <c r="G49" s="6">
        <v>1</v>
      </c>
      <c r="H49" s="9">
        <f t="shared" si="0"/>
        <v>0.33333333333333331</v>
      </c>
      <c r="I49" s="6">
        <v>0</v>
      </c>
      <c r="J49" s="6">
        <v>0</v>
      </c>
      <c r="K49" s="6">
        <v>0</v>
      </c>
    </row>
    <row r="50" spans="1:11" x14ac:dyDescent="0.2">
      <c r="A50" s="5">
        <v>39347</v>
      </c>
      <c r="B50" s="6">
        <v>1</v>
      </c>
      <c r="C50" s="8" t="s">
        <v>123</v>
      </c>
      <c r="D50" s="8">
        <v>14</v>
      </c>
      <c r="E50" s="6" t="s">
        <v>22</v>
      </c>
      <c r="F50" s="6">
        <v>3</v>
      </c>
      <c r="G50" s="6">
        <v>1</v>
      </c>
      <c r="H50" s="9">
        <f t="shared" si="0"/>
        <v>0.33333333333333331</v>
      </c>
      <c r="I50" s="6">
        <v>0</v>
      </c>
      <c r="J50" s="6">
        <v>0</v>
      </c>
      <c r="K50" s="6">
        <v>0</v>
      </c>
    </row>
    <row r="51" spans="1:11" ht="13.5" thickBot="1" x14ac:dyDescent="0.25">
      <c r="A51" s="5">
        <v>39354</v>
      </c>
      <c r="B51" s="6">
        <v>2</v>
      </c>
      <c r="C51" s="8" t="s">
        <v>123</v>
      </c>
      <c r="D51" s="8">
        <v>14</v>
      </c>
      <c r="E51" s="6" t="s">
        <v>22</v>
      </c>
      <c r="F51" s="80">
        <v>3</v>
      </c>
      <c r="G51" s="80">
        <v>0</v>
      </c>
      <c r="H51" s="69">
        <f t="shared" si="0"/>
        <v>0</v>
      </c>
      <c r="I51" s="80">
        <v>0</v>
      </c>
      <c r="J51" s="80">
        <v>0</v>
      </c>
      <c r="K51" s="80">
        <v>0</v>
      </c>
    </row>
    <row r="52" spans="1:11" x14ac:dyDescent="0.2">
      <c r="F52" s="3">
        <f>SUM(F4:F51)</f>
        <v>169</v>
      </c>
      <c r="G52" s="3">
        <f>SUM(G4:G51)</f>
        <v>107</v>
      </c>
      <c r="H52" s="64">
        <f t="shared" si="0"/>
        <v>0.63313609467455623</v>
      </c>
      <c r="I52" s="3">
        <f t="shared" ref="I52:K52" si="1">SUM(I4:I51)</f>
        <v>161</v>
      </c>
      <c r="J52" s="3">
        <f t="shared" si="1"/>
        <v>10</v>
      </c>
      <c r="K52" s="3">
        <f t="shared" si="1"/>
        <v>41</v>
      </c>
    </row>
  </sheetData>
  <phoneticPr fontId="0" type="noConversion"/>
  <pageMargins left="0.75" right="0.75" top="1" bottom="1" header="0.5" footer="0.5"/>
  <pageSetup orientation="portrait" r:id="rId1"/>
  <headerFooter alignWithMargins="0"/>
  <ignoredErrors>
    <ignoredError sqref="H52" formula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4"/>
  <sheetViews>
    <sheetView workbookViewId="0">
      <pane xSplit="1" ySplit="3" topLeftCell="B20" activePane="bottomRight" state="frozen"/>
      <selection pane="topRight" activeCell="B1" sqref="B1"/>
      <selection pane="bottomLeft" activeCell="A4" sqref="A4"/>
      <selection pane="bottomRight" activeCell="G38" sqref="G38:G57"/>
    </sheetView>
  </sheetViews>
  <sheetFormatPr defaultRowHeight="12.75" x14ac:dyDescent="0.2"/>
  <cols>
    <col min="5" max="5" width="29.140625" bestFit="1" customWidth="1"/>
  </cols>
  <sheetData>
    <row r="1" spans="1:11" x14ac:dyDescent="0.2">
      <c r="A1" s="2"/>
      <c r="B1" s="2"/>
      <c r="C1" s="2" t="s">
        <v>25</v>
      </c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1" x14ac:dyDescent="0.2">
      <c r="A2" s="2" t="s">
        <v>0</v>
      </c>
      <c r="B2" s="2" t="s">
        <v>1</v>
      </c>
      <c r="C2" s="2" t="s">
        <v>26</v>
      </c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1" ht="13.5" thickBot="1" x14ac:dyDescent="0.25">
      <c r="A3" s="1"/>
      <c r="I3" s="1"/>
      <c r="J3" s="4" t="s">
        <v>6</v>
      </c>
      <c r="K3" s="4" t="s">
        <v>7</v>
      </c>
    </row>
    <row r="4" spans="1:11" x14ac:dyDescent="0.2">
      <c r="A4" s="5">
        <v>39326</v>
      </c>
      <c r="B4" s="6">
        <v>1</v>
      </c>
      <c r="C4" s="8" t="s">
        <v>27</v>
      </c>
      <c r="D4" s="8">
        <v>1</v>
      </c>
      <c r="E4" s="8" t="s">
        <v>9</v>
      </c>
      <c r="F4" s="6">
        <v>6</v>
      </c>
      <c r="G4" s="19">
        <v>7</v>
      </c>
      <c r="H4" s="9">
        <f t="shared" ref="H4:H60" si="0">G4/F4</f>
        <v>1.1666666666666667</v>
      </c>
      <c r="I4" s="6">
        <v>0</v>
      </c>
      <c r="J4" s="19">
        <v>0</v>
      </c>
      <c r="K4" s="6">
        <v>0</v>
      </c>
    </row>
    <row r="5" spans="1:11" x14ac:dyDescent="0.2">
      <c r="A5" s="5">
        <v>39333</v>
      </c>
      <c r="B5" s="6">
        <v>2</v>
      </c>
      <c r="C5" s="8" t="s">
        <v>27</v>
      </c>
      <c r="D5" s="8">
        <v>1</v>
      </c>
      <c r="E5" s="8" t="s">
        <v>9</v>
      </c>
      <c r="F5" s="6">
        <v>6</v>
      </c>
      <c r="G5" s="19">
        <v>1</v>
      </c>
      <c r="H5" s="9">
        <f t="shared" si="0"/>
        <v>0.16666666666666666</v>
      </c>
      <c r="I5" s="6">
        <v>0</v>
      </c>
      <c r="J5" s="19">
        <v>0</v>
      </c>
      <c r="K5" s="6">
        <v>1</v>
      </c>
    </row>
    <row r="6" spans="1:11" x14ac:dyDescent="0.2">
      <c r="A6" s="5">
        <v>39340</v>
      </c>
      <c r="B6" s="6">
        <v>3</v>
      </c>
      <c r="C6" s="8" t="s">
        <v>27</v>
      </c>
      <c r="D6" s="8">
        <v>1</v>
      </c>
      <c r="E6" s="8" t="s">
        <v>9</v>
      </c>
      <c r="F6" s="6">
        <v>6</v>
      </c>
      <c r="G6" s="19">
        <v>0</v>
      </c>
      <c r="H6" s="9">
        <f t="shared" si="0"/>
        <v>0</v>
      </c>
      <c r="I6" s="6">
        <v>0</v>
      </c>
      <c r="J6" s="19">
        <v>0</v>
      </c>
      <c r="K6" s="6">
        <v>0</v>
      </c>
    </row>
    <row r="7" spans="1:11" x14ac:dyDescent="0.2">
      <c r="A7" s="5">
        <v>39326</v>
      </c>
      <c r="B7" s="6">
        <v>1</v>
      </c>
      <c r="C7" s="8" t="s">
        <v>28</v>
      </c>
      <c r="D7" s="8">
        <v>2</v>
      </c>
      <c r="E7" s="8" t="s">
        <v>10</v>
      </c>
      <c r="F7" s="6">
        <v>3</v>
      </c>
      <c r="G7" s="19">
        <v>8</v>
      </c>
      <c r="H7" s="9">
        <f t="shared" si="0"/>
        <v>2.6666666666666665</v>
      </c>
      <c r="I7" s="6">
        <v>3</v>
      </c>
      <c r="J7" s="19">
        <v>0</v>
      </c>
      <c r="K7" s="6">
        <v>1</v>
      </c>
    </row>
    <row r="8" spans="1:11" x14ac:dyDescent="0.2">
      <c r="A8" s="5">
        <v>39333</v>
      </c>
      <c r="B8" s="6">
        <v>2</v>
      </c>
      <c r="C8" s="8" t="s">
        <v>28</v>
      </c>
      <c r="D8" s="8">
        <v>2</v>
      </c>
      <c r="E8" s="8" t="s">
        <v>10</v>
      </c>
      <c r="F8" s="6">
        <v>3</v>
      </c>
      <c r="G8" s="19">
        <v>7</v>
      </c>
      <c r="H8" s="9">
        <f t="shared" si="0"/>
        <v>2.3333333333333335</v>
      </c>
      <c r="I8" s="6">
        <v>2</v>
      </c>
      <c r="J8" s="19">
        <v>0</v>
      </c>
      <c r="K8" s="6">
        <v>1</v>
      </c>
    </row>
    <row r="9" spans="1:11" x14ac:dyDescent="0.2">
      <c r="A9" s="5">
        <v>39340</v>
      </c>
      <c r="B9" s="6">
        <v>3</v>
      </c>
      <c r="C9" s="8" t="s">
        <v>28</v>
      </c>
      <c r="D9" s="8">
        <v>2</v>
      </c>
      <c r="E9" s="8" t="s">
        <v>10</v>
      </c>
      <c r="F9" s="6">
        <v>3</v>
      </c>
      <c r="G9" s="19">
        <v>1</v>
      </c>
      <c r="H9" s="9">
        <f t="shared" si="0"/>
        <v>0.33333333333333331</v>
      </c>
      <c r="I9" s="6">
        <v>0</v>
      </c>
      <c r="J9" s="19">
        <v>0</v>
      </c>
      <c r="K9" s="6">
        <v>0</v>
      </c>
    </row>
    <row r="10" spans="1:11" x14ac:dyDescent="0.2">
      <c r="A10" s="5">
        <v>39326</v>
      </c>
      <c r="B10" s="6">
        <v>1</v>
      </c>
      <c r="C10" s="8" t="s">
        <v>29</v>
      </c>
      <c r="D10" s="8">
        <v>3</v>
      </c>
      <c r="E10" s="8" t="s">
        <v>11</v>
      </c>
      <c r="F10" s="6">
        <v>2</v>
      </c>
      <c r="G10" s="19">
        <v>6</v>
      </c>
      <c r="H10" s="9">
        <f t="shared" si="0"/>
        <v>3</v>
      </c>
      <c r="I10" s="6">
        <v>14</v>
      </c>
      <c r="J10" s="19">
        <v>0</v>
      </c>
      <c r="K10" s="6">
        <v>1</v>
      </c>
    </row>
    <row r="11" spans="1:11" x14ac:dyDescent="0.2">
      <c r="A11" s="5">
        <v>39333</v>
      </c>
      <c r="B11" s="6">
        <v>2</v>
      </c>
      <c r="C11" s="8" t="s">
        <v>29</v>
      </c>
      <c r="D11" s="8">
        <v>3</v>
      </c>
      <c r="E11" s="8" t="s">
        <v>11</v>
      </c>
      <c r="F11" s="6">
        <v>2</v>
      </c>
      <c r="G11" s="19">
        <v>6</v>
      </c>
      <c r="H11" s="9">
        <f t="shared" si="0"/>
        <v>3</v>
      </c>
      <c r="I11" s="6">
        <v>8</v>
      </c>
      <c r="J11" s="19">
        <v>0</v>
      </c>
      <c r="K11" s="6">
        <v>1</v>
      </c>
    </row>
    <row r="12" spans="1:11" x14ac:dyDescent="0.2">
      <c r="A12" s="5">
        <v>39340</v>
      </c>
      <c r="B12" s="6">
        <v>3</v>
      </c>
      <c r="C12" s="8" t="s">
        <v>29</v>
      </c>
      <c r="D12" s="8">
        <v>3</v>
      </c>
      <c r="E12" s="8" t="s">
        <v>11</v>
      </c>
      <c r="F12" s="6">
        <v>2</v>
      </c>
      <c r="G12" s="19">
        <v>2</v>
      </c>
      <c r="H12" s="9">
        <f t="shared" si="0"/>
        <v>1</v>
      </c>
      <c r="I12" s="6">
        <v>2</v>
      </c>
      <c r="J12" s="19">
        <v>0</v>
      </c>
      <c r="K12" s="6">
        <v>1</v>
      </c>
    </row>
    <row r="13" spans="1:11" x14ac:dyDescent="0.2">
      <c r="A13" s="5">
        <v>39348</v>
      </c>
      <c r="B13" s="6">
        <v>4</v>
      </c>
      <c r="C13" s="8" t="s">
        <v>29</v>
      </c>
      <c r="D13" s="8">
        <v>3</v>
      </c>
      <c r="E13" s="8" t="s">
        <v>11</v>
      </c>
      <c r="F13" s="6">
        <v>2</v>
      </c>
      <c r="G13" s="19">
        <v>1</v>
      </c>
      <c r="H13" s="9">
        <f t="shared" si="0"/>
        <v>0.5</v>
      </c>
      <c r="I13" s="6">
        <v>0</v>
      </c>
      <c r="J13" s="19">
        <v>0</v>
      </c>
      <c r="K13" s="6">
        <v>0</v>
      </c>
    </row>
    <row r="14" spans="1:11" x14ac:dyDescent="0.2">
      <c r="A14" s="5">
        <v>39326</v>
      </c>
      <c r="B14" s="6">
        <v>1</v>
      </c>
      <c r="C14" s="8" t="s">
        <v>30</v>
      </c>
      <c r="D14" s="8">
        <v>4</v>
      </c>
      <c r="E14" s="8" t="s">
        <v>12</v>
      </c>
      <c r="F14" s="6">
        <v>5</v>
      </c>
      <c r="G14" s="19">
        <v>7</v>
      </c>
      <c r="H14" s="9">
        <f t="shared" si="0"/>
        <v>1.4</v>
      </c>
      <c r="I14" s="6">
        <v>12</v>
      </c>
      <c r="J14" s="19">
        <v>0</v>
      </c>
      <c r="K14" s="6">
        <v>2</v>
      </c>
    </row>
    <row r="15" spans="1:11" x14ac:dyDescent="0.2">
      <c r="A15" s="5">
        <v>39333</v>
      </c>
      <c r="B15" s="6">
        <v>2</v>
      </c>
      <c r="C15" s="8" t="s">
        <v>30</v>
      </c>
      <c r="D15" s="8">
        <v>4</v>
      </c>
      <c r="E15" s="8" t="s">
        <v>12</v>
      </c>
      <c r="F15" s="6">
        <v>5</v>
      </c>
      <c r="G15" s="19">
        <v>16</v>
      </c>
      <c r="H15" s="9">
        <f t="shared" si="0"/>
        <v>3.2</v>
      </c>
      <c r="I15" s="6">
        <v>19</v>
      </c>
      <c r="J15" s="19">
        <v>1</v>
      </c>
      <c r="K15" s="6">
        <v>1</v>
      </c>
    </row>
    <row r="16" spans="1:11" x14ac:dyDescent="0.2">
      <c r="A16" s="5">
        <v>39340</v>
      </c>
      <c r="B16" s="6">
        <v>3</v>
      </c>
      <c r="C16" s="8" t="s">
        <v>30</v>
      </c>
      <c r="D16" s="8">
        <v>4</v>
      </c>
      <c r="E16" s="8" t="s">
        <v>12</v>
      </c>
      <c r="F16" s="6">
        <v>5</v>
      </c>
      <c r="G16" s="19">
        <v>2</v>
      </c>
      <c r="H16" s="9">
        <f t="shared" si="0"/>
        <v>0.4</v>
      </c>
      <c r="I16" s="6">
        <v>11</v>
      </c>
      <c r="J16" s="19">
        <v>0</v>
      </c>
      <c r="K16" s="6">
        <v>6</v>
      </c>
    </row>
    <row r="17" spans="1:11" x14ac:dyDescent="0.2">
      <c r="A17" s="5">
        <v>39348</v>
      </c>
      <c r="B17" s="6">
        <v>4</v>
      </c>
      <c r="C17" s="8" t="s">
        <v>30</v>
      </c>
      <c r="D17" s="8">
        <v>4</v>
      </c>
      <c r="E17" s="8" t="s">
        <v>12</v>
      </c>
      <c r="F17" s="6">
        <v>5</v>
      </c>
      <c r="G17" s="19">
        <v>0</v>
      </c>
      <c r="H17" s="9">
        <f t="shared" si="0"/>
        <v>0</v>
      </c>
      <c r="I17" s="6">
        <v>1</v>
      </c>
      <c r="J17" s="19">
        <v>0</v>
      </c>
      <c r="K17" s="6">
        <v>3</v>
      </c>
    </row>
    <row r="18" spans="1:11" x14ac:dyDescent="0.2">
      <c r="A18" s="5">
        <v>39326</v>
      </c>
      <c r="B18" s="6">
        <v>1</v>
      </c>
      <c r="C18" s="8" t="s">
        <v>31</v>
      </c>
      <c r="D18" s="8">
        <v>5</v>
      </c>
      <c r="E18" s="8" t="s">
        <v>13</v>
      </c>
      <c r="F18" s="6">
        <v>2</v>
      </c>
      <c r="G18" s="19">
        <v>2</v>
      </c>
      <c r="H18" s="9">
        <f t="shared" si="0"/>
        <v>1</v>
      </c>
      <c r="I18" s="6">
        <v>0</v>
      </c>
      <c r="J18" s="19">
        <v>0</v>
      </c>
      <c r="K18" s="6">
        <v>1</v>
      </c>
    </row>
    <row r="19" spans="1:11" x14ac:dyDescent="0.2">
      <c r="A19" s="5">
        <v>39333</v>
      </c>
      <c r="B19" s="6">
        <v>2</v>
      </c>
      <c r="C19" s="8" t="s">
        <v>31</v>
      </c>
      <c r="D19" s="8">
        <v>5</v>
      </c>
      <c r="E19" s="8" t="s">
        <v>13</v>
      </c>
      <c r="F19" s="6">
        <v>2</v>
      </c>
      <c r="G19" s="19">
        <v>3</v>
      </c>
      <c r="H19" s="9">
        <f t="shared" si="0"/>
        <v>1.5</v>
      </c>
      <c r="I19" s="6">
        <v>4</v>
      </c>
      <c r="J19" s="19">
        <v>0</v>
      </c>
      <c r="K19" s="6">
        <v>1</v>
      </c>
    </row>
    <row r="20" spans="1:11" x14ac:dyDescent="0.2">
      <c r="A20" s="5">
        <v>39340</v>
      </c>
      <c r="B20" s="6">
        <v>3</v>
      </c>
      <c r="C20" s="8" t="s">
        <v>31</v>
      </c>
      <c r="D20" s="8">
        <v>5</v>
      </c>
      <c r="E20" s="8" t="s">
        <v>13</v>
      </c>
      <c r="F20" s="6">
        <v>2</v>
      </c>
      <c r="G20" s="19">
        <v>1</v>
      </c>
      <c r="H20" s="9">
        <f t="shared" si="0"/>
        <v>0.5</v>
      </c>
      <c r="I20" s="6">
        <v>11</v>
      </c>
      <c r="J20" s="19">
        <v>0</v>
      </c>
      <c r="K20" s="6">
        <v>2</v>
      </c>
    </row>
    <row r="21" spans="1:11" x14ac:dyDescent="0.2">
      <c r="A21" s="5">
        <v>39349</v>
      </c>
      <c r="B21" s="6">
        <v>4</v>
      </c>
      <c r="C21" s="8" t="s">
        <v>31</v>
      </c>
      <c r="D21" s="8">
        <v>5</v>
      </c>
      <c r="E21" s="8" t="s">
        <v>13</v>
      </c>
      <c r="F21" s="6">
        <v>2</v>
      </c>
      <c r="G21" s="19">
        <v>1</v>
      </c>
      <c r="H21" s="9">
        <f t="shared" si="0"/>
        <v>0.5</v>
      </c>
      <c r="I21" s="6">
        <v>1</v>
      </c>
      <c r="J21" s="19">
        <v>2</v>
      </c>
      <c r="K21" s="6">
        <v>4</v>
      </c>
    </row>
    <row r="22" spans="1:11" x14ac:dyDescent="0.2">
      <c r="A22" s="5">
        <v>39352</v>
      </c>
      <c r="B22" s="6">
        <v>5</v>
      </c>
      <c r="C22" s="8" t="s">
        <v>31</v>
      </c>
      <c r="D22" s="8">
        <v>5</v>
      </c>
      <c r="E22" s="8" t="s">
        <v>13</v>
      </c>
      <c r="F22" s="6">
        <v>2</v>
      </c>
      <c r="G22" s="19">
        <v>0</v>
      </c>
      <c r="H22" s="9">
        <f t="shared" si="0"/>
        <v>0</v>
      </c>
      <c r="I22" s="6">
        <v>0</v>
      </c>
      <c r="J22" s="19">
        <v>0</v>
      </c>
      <c r="K22" s="6">
        <v>1</v>
      </c>
    </row>
    <row r="23" spans="1:11" x14ac:dyDescent="0.2">
      <c r="A23" s="5">
        <v>39326</v>
      </c>
      <c r="B23" s="6">
        <v>1</v>
      </c>
      <c r="C23" s="8" t="s">
        <v>32</v>
      </c>
      <c r="D23" s="8">
        <v>6</v>
      </c>
      <c r="E23" s="8" t="s">
        <v>14</v>
      </c>
      <c r="F23" s="6">
        <v>4</v>
      </c>
      <c r="G23" s="19">
        <v>8</v>
      </c>
      <c r="H23" s="9">
        <f t="shared" si="0"/>
        <v>2</v>
      </c>
      <c r="I23" s="6">
        <v>8</v>
      </c>
      <c r="J23" s="19">
        <v>1</v>
      </c>
      <c r="K23" s="6">
        <v>0</v>
      </c>
    </row>
    <row r="24" spans="1:11" x14ac:dyDescent="0.2">
      <c r="A24" s="5">
        <v>39333</v>
      </c>
      <c r="B24" s="6">
        <v>2</v>
      </c>
      <c r="C24" s="8" t="s">
        <v>32</v>
      </c>
      <c r="D24" s="8">
        <v>6</v>
      </c>
      <c r="E24" s="8" t="s">
        <v>14</v>
      </c>
      <c r="F24" s="6">
        <v>4</v>
      </c>
      <c r="G24" s="19">
        <v>8</v>
      </c>
      <c r="H24" s="9">
        <f t="shared" si="0"/>
        <v>2</v>
      </c>
      <c r="I24" s="6">
        <v>25</v>
      </c>
      <c r="J24" s="19">
        <v>0</v>
      </c>
      <c r="K24" s="6">
        <v>2</v>
      </c>
    </row>
    <row r="25" spans="1:11" x14ac:dyDescent="0.2">
      <c r="A25" s="5">
        <v>39340</v>
      </c>
      <c r="B25" s="6">
        <v>3</v>
      </c>
      <c r="C25" s="8" t="s">
        <v>32</v>
      </c>
      <c r="D25" s="8">
        <v>6</v>
      </c>
      <c r="E25" s="8" t="s">
        <v>14</v>
      </c>
      <c r="F25" s="6">
        <v>4</v>
      </c>
      <c r="G25" s="19">
        <v>7</v>
      </c>
      <c r="H25" s="9">
        <f t="shared" si="0"/>
        <v>1.75</v>
      </c>
      <c r="I25" s="6">
        <v>12</v>
      </c>
      <c r="J25" s="19">
        <v>4</v>
      </c>
      <c r="K25" s="6">
        <v>4</v>
      </c>
    </row>
    <row r="26" spans="1:11" x14ac:dyDescent="0.2">
      <c r="A26" s="5">
        <v>39349</v>
      </c>
      <c r="B26" s="6">
        <v>4</v>
      </c>
      <c r="C26" s="8" t="s">
        <v>32</v>
      </c>
      <c r="D26" s="8">
        <v>6</v>
      </c>
      <c r="E26" s="8" t="s">
        <v>14</v>
      </c>
      <c r="F26" s="6">
        <v>4</v>
      </c>
      <c r="G26" s="19">
        <v>3</v>
      </c>
      <c r="H26" s="9">
        <f t="shared" si="0"/>
        <v>0.75</v>
      </c>
      <c r="I26" s="6">
        <v>4</v>
      </c>
      <c r="J26" s="19">
        <v>1</v>
      </c>
      <c r="K26" s="6">
        <v>4</v>
      </c>
    </row>
    <row r="27" spans="1:11" x14ac:dyDescent="0.2">
      <c r="A27" s="5">
        <v>39352</v>
      </c>
      <c r="B27" s="6">
        <v>5</v>
      </c>
      <c r="C27" s="8" t="s">
        <v>32</v>
      </c>
      <c r="D27" s="8">
        <v>6</v>
      </c>
      <c r="E27" s="8" t="s">
        <v>14</v>
      </c>
      <c r="F27" s="6">
        <v>4</v>
      </c>
      <c r="G27" s="19">
        <v>0</v>
      </c>
      <c r="H27" s="9">
        <f t="shared" si="0"/>
        <v>0</v>
      </c>
      <c r="I27" s="6">
        <v>0</v>
      </c>
      <c r="J27" s="19">
        <v>0</v>
      </c>
      <c r="K27" s="6">
        <v>0</v>
      </c>
    </row>
    <row r="28" spans="1:11" x14ac:dyDescent="0.2">
      <c r="A28" s="5">
        <v>39326</v>
      </c>
      <c r="B28" s="6">
        <v>1</v>
      </c>
      <c r="C28" s="8" t="s">
        <v>33</v>
      </c>
      <c r="D28" s="8">
        <v>7</v>
      </c>
      <c r="E28" s="8" t="s">
        <v>15</v>
      </c>
      <c r="F28" s="6">
        <v>3</v>
      </c>
      <c r="G28" s="19">
        <v>0</v>
      </c>
      <c r="H28" s="9">
        <f t="shared" si="0"/>
        <v>0</v>
      </c>
      <c r="I28" s="6">
        <v>1</v>
      </c>
      <c r="J28" s="19">
        <v>0</v>
      </c>
      <c r="K28" s="6">
        <v>0</v>
      </c>
    </row>
    <row r="29" spans="1:11" x14ac:dyDescent="0.2">
      <c r="A29" s="5">
        <v>39333</v>
      </c>
      <c r="B29" s="6">
        <v>2</v>
      </c>
      <c r="C29" s="8" t="s">
        <v>33</v>
      </c>
      <c r="D29" s="8">
        <v>7</v>
      </c>
      <c r="E29" s="8" t="s">
        <v>15</v>
      </c>
      <c r="F29" s="6">
        <v>3</v>
      </c>
      <c r="G29" s="19">
        <v>7</v>
      </c>
      <c r="H29" s="9">
        <f t="shared" si="0"/>
        <v>2.3333333333333335</v>
      </c>
      <c r="I29" s="6">
        <v>6</v>
      </c>
      <c r="J29" s="19">
        <v>1</v>
      </c>
      <c r="K29" s="6">
        <v>2</v>
      </c>
    </row>
    <row r="30" spans="1:11" x14ac:dyDescent="0.2">
      <c r="A30" s="5">
        <v>39341</v>
      </c>
      <c r="B30" s="6">
        <v>3</v>
      </c>
      <c r="C30" s="8" t="s">
        <v>33</v>
      </c>
      <c r="D30" s="8">
        <v>7</v>
      </c>
      <c r="E30" s="8" t="s">
        <v>15</v>
      </c>
      <c r="F30" s="6">
        <v>3</v>
      </c>
      <c r="G30" s="19">
        <v>8</v>
      </c>
      <c r="H30" s="9">
        <f t="shared" si="0"/>
        <v>2.6666666666666665</v>
      </c>
      <c r="I30" s="6">
        <v>8</v>
      </c>
      <c r="J30" s="19">
        <v>2</v>
      </c>
      <c r="K30" s="6">
        <v>12</v>
      </c>
    </row>
    <row r="31" spans="1:11" x14ac:dyDescent="0.2">
      <c r="A31" s="5">
        <v>39345</v>
      </c>
      <c r="B31" s="6">
        <v>4</v>
      </c>
      <c r="C31" s="8" t="s">
        <v>33</v>
      </c>
      <c r="D31" s="8">
        <v>7</v>
      </c>
      <c r="E31" s="8" t="s">
        <v>15</v>
      </c>
      <c r="F31" s="6">
        <v>3</v>
      </c>
      <c r="G31" s="19">
        <v>0</v>
      </c>
      <c r="H31" s="9">
        <f t="shared" si="0"/>
        <v>0</v>
      </c>
      <c r="I31" s="6">
        <v>0</v>
      </c>
      <c r="J31" s="19">
        <v>0</v>
      </c>
      <c r="K31" s="6">
        <v>7</v>
      </c>
    </row>
    <row r="32" spans="1:11" x14ac:dyDescent="0.2">
      <c r="A32" s="5">
        <v>39352</v>
      </c>
      <c r="B32" s="6">
        <v>5</v>
      </c>
      <c r="C32" s="8" t="s">
        <v>33</v>
      </c>
      <c r="D32" s="8">
        <v>7</v>
      </c>
      <c r="E32" s="8" t="s">
        <v>15</v>
      </c>
      <c r="F32" s="6">
        <v>3</v>
      </c>
      <c r="G32" s="19">
        <v>0</v>
      </c>
      <c r="H32" s="9">
        <f t="shared" si="0"/>
        <v>0</v>
      </c>
      <c r="I32" s="6">
        <v>0</v>
      </c>
      <c r="J32" s="19">
        <v>0</v>
      </c>
      <c r="K32" s="6">
        <v>0</v>
      </c>
    </row>
    <row r="33" spans="1:11" x14ac:dyDescent="0.2">
      <c r="A33" s="5">
        <v>39326</v>
      </c>
      <c r="B33" s="6">
        <v>1</v>
      </c>
      <c r="C33" s="8" t="s">
        <v>34</v>
      </c>
      <c r="D33" s="8">
        <v>8</v>
      </c>
      <c r="E33" s="8" t="s">
        <v>16</v>
      </c>
      <c r="F33" s="6">
        <v>3</v>
      </c>
      <c r="G33" s="19">
        <v>5</v>
      </c>
      <c r="H33" s="9">
        <f t="shared" si="0"/>
        <v>1.6666666666666667</v>
      </c>
      <c r="I33" s="6">
        <v>13</v>
      </c>
      <c r="J33" s="19">
        <v>1</v>
      </c>
      <c r="K33" s="6">
        <v>0</v>
      </c>
    </row>
    <row r="34" spans="1:11" x14ac:dyDescent="0.2">
      <c r="A34" s="5">
        <v>39333</v>
      </c>
      <c r="B34" s="6">
        <v>2</v>
      </c>
      <c r="C34" s="8" t="s">
        <v>34</v>
      </c>
      <c r="D34" s="8">
        <v>8</v>
      </c>
      <c r="E34" s="8" t="s">
        <v>16</v>
      </c>
      <c r="F34" s="6">
        <v>3</v>
      </c>
      <c r="G34" s="19">
        <v>15</v>
      </c>
      <c r="H34" s="9">
        <f t="shared" si="0"/>
        <v>5</v>
      </c>
      <c r="I34" s="6">
        <v>36</v>
      </c>
      <c r="J34" s="19">
        <v>1</v>
      </c>
      <c r="K34" s="6">
        <v>3</v>
      </c>
    </row>
    <row r="35" spans="1:11" x14ac:dyDescent="0.2">
      <c r="A35" s="5">
        <v>39341</v>
      </c>
      <c r="B35" s="6">
        <v>3</v>
      </c>
      <c r="C35" s="8" t="s">
        <v>34</v>
      </c>
      <c r="D35" s="8">
        <v>8</v>
      </c>
      <c r="E35" s="8" t="s">
        <v>16</v>
      </c>
      <c r="F35" s="6">
        <v>3</v>
      </c>
      <c r="G35" s="19">
        <v>7</v>
      </c>
      <c r="H35" s="9">
        <f t="shared" si="0"/>
        <v>2.3333333333333335</v>
      </c>
      <c r="I35" s="6">
        <v>10</v>
      </c>
      <c r="J35" s="19">
        <v>3</v>
      </c>
      <c r="K35" s="6">
        <v>23</v>
      </c>
    </row>
    <row r="36" spans="1:11" x14ac:dyDescent="0.2">
      <c r="A36" s="5">
        <v>39345</v>
      </c>
      <c r="B36" s="6">
        <v>4</v>
      </c>
      <c r="C36" s="8" t="s">
        <v>34</v>
      </c>
      <c r="D36" s="8">
        <v>8</v>
      </c>
      <c r="E36" s="8" t="s">
        <v>16</v>
      </c>
      <c r="F36" s="6">
        <v>3</v>
      </c>
      <c r="G36" s="19">
        <v>2</v>
      </c>
      <c r="H36" s="9">
        <f t="shared" si="0"/>
        <v>0.66666666666666663</v>
      </c>
      <c r="I36" s="6">
        <v>7</v>
      </c>
      <c r="J36" s="19">
        <v>1</v>
      </c>
      <c r="K36" s="6">
        <v>5</v>
      </c>
    </row>
    <row r="37" spans="1:11" x14ac:dyDescent="0.2">
      <c r="A37" s="5">
        <v>39352</v>
      </c>
      <c r="B37" s="6">
        <v>5</v>
      </c>
      <c r="C37" s="8" t="s">
        <v>34</v>
      </c>
      <c r="D37" s="8">
        <v>8</v>
      </c>
      <c r="E37" s="8" t="s">
        <v>16</v>
      </c>
      <c r="F37" s="6">
        <v>3</v>
      </c>
      <c r="G37" s="19">
        <v>2</v>
      </c>
      <c r="H37" s="9">
        <f t="shared" si="0"/>
        <v>0.66666666666666663</v>
      </c>
      <c r="I37" s="6">
        <v>0</v>
      </c>
      <c r="J37" s="19">
        <v>1</v>
      </c>
      <c r="K37" s="6">
        <v>3</v>
      </c>
    </row>
    <row r="38" spans="1:11" x14ac:dyDescent="0.2">
      <c r="A38" s="5">
        <v>39327</v>
      </c>
      <c r="B38" s="6">
        <v>1</v>
      </c>
      <c r="C38" s="8" t="s">
        <v>35</v>
      </c>
      <c r="D38" s="8">
        <v>9</v>
      </c>
      <c r="E38" s="8" t="s">
        <v>17</v>
      </c>
      <c r="F38" s="6">
        <v>4</v>
      </c>
      <c r="G38" s="19">
        <v>0</v>
      </c>
      <c r="H38" s="9">
        <f t="shared" si="0"/>
        <v>0</v>
      </c>
      <c r="I38" s="6">
        <v>7</v>
      </c>
      <c r="J38" s="19">
        <v>0</v>
      </c>
      <c r="K38" s="6">
        <v>0</v>
      </c>
    </row>
    <row r="39" spans="1:11" x14ac:dyDescent="0.2">
      <c r="A39" s="5">
        <v>39333</v>
      </c>
      <c r="B39" s="6">
        <v>2</v>
      </c>
      <c r="C39" s="8" t="s">
        <v>35</v>
      </c>
      <c r="D39" s="8">
        <v>9</v>
      </c>
      <c r="E39" s="8" t="s">
        <v>17</v>
      </c>
      <c r="F39" s="6">
        <v>4</v>
      </c>
      <c r="G39" s="19">
        <v>1</v>
      </c>
      <c r="H39" s="9">
        <f t="shared" si="0"/>
        <v>0.25</v>
      </c>
      <c r="I39" s="6">
        <v>1</v>
      </c>
      <c r="J39" s="19">
        <v>0</v>
      </c>
      <c r="K39" s="6">
        <v>0</v>
      </c>
    </row>
    <row r="40" spans="1:11" x14ac:dyDescent="0.2">
      <c r="A40" s="5">
        <v>39341</v>
      </c>
      <c r="B40" s="6">
        <v>3</v>
      </c>
      <c r="C40" s="8" t="s">
        <v>35</v>
      </c>
      <c r="D40" s="8">
        <v>9</v>
      </c>
      <c r="E40" s="8" t="s">
        <v>17</v>
      </c>
      <c r="F40" s="6">
        <v>4</v>
      </c>
      <c r="G40" s="19">
        <v>2</v>
      </c>
      <c r="H40" s="9">
        <f t="shared" si="0"/>
        <v>0.5</v>
      </c>
      <c r="I40" s="6">
        <v>10</v>
      </c>
      <c r="J40" s="19">
        <v>0</v>
      </c>
      <c r="K40" s="6">
        <v>2</v>
      </c>
    </row>
    <row r="41" spans="1:11" x14ac:dyDescent="0.2">
      <c r="A41" s="5">
        <v>39349</v>
      </c>
      <c r="B41" s="6">
        <v>4</v>
      </c>
      <c r="C41" s="8" t="s">
        <v>35</v>
      </c>
      <c r="D41" s="8">
        <v>9</v>
      </c>
      <c r="E41" s="8" t="s">
        <v>17</v>
      </c>
      <c r="F41" s="6">
        <v>4</v>
      </c>
      <c r="G41" s="19">
        <v>4</v>
      </c>
      <c r="H41" s="9">
        <f t="shared" si="0"/>
        <v>1</v>
      </c>
      <c r="I41" s="6">
        <v>0</v>
      </c>
      <c r="J41" s="19">
        <v>0</v>
      </c>
      <c r="K41" s="6">
        <v>4</v>
      </c>
    </row>
    <row r="42" spans="1:11" x14ac:dyDescent="0.2">
      <c r="A42" s="5">
        <v>39355</v>
      </c>
      <c r="B42" s="6">
        <v>5</v>
      </c>
      <c r="C42" s="8" t="s">
        <v>35</v>
      </c>
      <c r="D42" s="8">
        <v>9</v>
      </c>
      <c r="E42" s="8" t="s">
        <v>17</v>
      </c>
      <c r="F42" s="6">
        <v>4</v>
      </c>
      <c r="G42" s="19">
        <v>0</v>
      </c>
      <c r="H42" s="9">
        <f t="shared" si="0"/>
        <v>0</v>
      </c>
      <c r="I42" s="6">
        <v>1</v>
      </c>
      <c r="J42" s="19">
        <v>0</v>
      </c>
      <c r="K42" s="6">
        <v>0</v>
      </c>
    </row>
    <row r="43" spans="1:11" x14ac:dyDescent="0.2">
      <c r="A43" s="5">
        <v>39327</v>
      </c>
      <c r="B43" s="6">
        <v>1</v>
      </c>
      <c r="C43" s="8" t="s">
        <v>36</v>
      </c>
      <c r="D43" s="8">
        <v>10</v>
      </c>
      <c r="E43" s="8" t="s">
        <v>18</v>
      </c>
      <c r="F43" s="6">
        <v>5</v>
      </c>
      <c r="G43" s="19">
        <v>0</v>
      </c>
      <c r="H43" s="9">
        <f t="shared" si="0"/>
        <v>0</v>
      </c>
      <c r="I43" s="6">
        <v>1</v>
      </c>
      <c r="J43" s="19">
        <v>0</v>
      </c>
      <c r="K43" s="6">
        <v>0</v>
      </c>
    </row>
    <row r="44" spans="1:11" x14ac:dyDescent="0.2">
      <c r="A44" s="5">
        <v>39333</v>
      </c>
      <c r="B44" s="6">
        <v>2</v>
      </c>
      <c r="C44" s="8" t="s">
        <v>36</v>
      </c>
      <c r="D44" s="8">
        <v>10</v>
      </c>
      <c r="E44" s="8" t="s">
        <v>18</v>
      </c>
      <c r="F44" s="6">
        <v>5</v>
      </c>
      <c r="G44" s="19">
        <v>1</v>
      </c>
      <c r="H44" s="9">
        <f t="shared" si="0"/>
        <v>0.2</v>
      </c>
      <c r="I44" s="6">
        <v>1</v>
      </c>
      <c r="J44" s="19">
        <v>0</v>
      </c>
      <c r="K44" s="6">
        <v>0</v>
      </c>
    </row>
    <row r="45" spans="1:11" x14ac:dyDescent="0.2">
      <c r="A45" s="5">
        <v>39340</v>
      </c>
      <c r="B45" s="6">
        <v>3</v>
      </c>
      <c r="C45" s="8" t="s">
        <v>36</v>
      </c>
      <c r="D45" s="8">
        <v>10</v>
      </c>
      <c r="E45" s="8" t="s">
        <v>18</v>
      </c>
      <c r="F45" s="6">
        <v>5</v>
      </c>
      <c r="G45" s="19">
        <v>1</v>
      </c>
      <c r="H45" s="9">
        <f t="shared" si="0"/>
        <v>0.2</v>
      </c>
      <c r="I45" s="6">
        <v>7</v>
      </c>
      <c r="J45" s="19">
        <v>0</v>
      </c>
      <c r="K45" s="6">
        <v>0</v>
      </c>
    </row>
    <row r="46" spans="1:11" x14ac:dyDescent="0.2">
      <c r="A46" s="5">
        <v>39348</v>
      </c>
      <c r="B46" s="6">
        <v>4</v>
      </c>
      <c r="C46" s="8" t="s">
        <v>36</v>
      </c>
      <c r="D46" s="8">
        <v>10</v>
      </c>
      <c r="E46" s="8" t="s">
        <v>18</v>
      </c>
      <c r="F46" s="6">
        <v>5</v>
      </c>
      <c r="G46" s="19">
        <v>1</v>
      </c>
      <c r="H46" s="9">
        <f t="shared" si="0"/>
        <v>0.2</v>
      </c>
      <c r="I46" s="6">
        <v>0</v>
      </c>
      <c r="J46" s="19">
        <v>0</v>
      </c>
      <c r="K46" s="6">
        <v>0</v>
      </c>
    </row>
    <row r="47" spans="1:11" x14ac:dyDescent="0.2">
      <c r="A47" s="5">
        <v>39355</v>
      </c>
      <c r="B47" s="6">
        <v>5</v>
      </c>
      <c r="C47" s="8" t="s">
        <v>36</v>
      </c>
      <c r="D47" s="8">
        <v>10</v>
      </c>
      <c r="E47" s="8" t="s">
        <v>18</v>
      </c>
      <c r="F47" s="6">
        <v>5</v>
      </c>
      <c r="G47" s="19">
        <v>1</v>
      </c>
      <c r="H47" s="9">
        <f t="shared" si="0"/>
        <v>0.2</v>
      </c>
      <c r="I47" s="6">
        <v>1</v>
      </c>
      <c r="J47" s="19">
        <v>0</v>
      </c>
      <c r="K47" s="6">
        <v>0</v>
      </c>
    </row>
    <row r="48" spans="1:11" x14ac:dyDescent="0.2">
      <c r="A48" s="5">
        <v>39327</v>
      </c>
      <c r="B48" s="6">
        <v>1</v>
      </c>
      <c r="C48" s="8" t="s">
        <v>37</v>
      </c>
      <c r="D48" s="8">
        <v>11</v>
      </c>
      <c r="E48" s="8" t="s">
        <v>19</v>
      </c>
      <c r="F48" s="6">
        <v>4</v>
      </c>
      <c r="G48" s="19">
        <v>0</v>
      </c>
      <c r="H48" s="9">
        <f t="shared" si="0"/>
        <v>0</v>
      </c>
      <c r="I48" s="6">
        <v>0</v>
      </c>
      <c r="J48" s="19">
        <v>0</v>
      </c>
      <c r="K48" s="6">
        <v>0</v>
      </c>
    </row>
    <row r="49" spans="1:11" x14ac:dyDescent="0.2">
      <c r="A49" s="5">
        <v>39333</v>
      </c>
      <c r="B49" s="6">
        <v>2</v>
      </c>
      <c r="C49" s="8" t="s">
        <v>37</v>
      </c>
      <c r="D49" s="8">
        <v>11</v>
      </c>
      <c r="E49" s="8" t="s">
        <v>19</v>
      </c>
      <c r="F49" s="6">
        <v>4</v>
      </c>
      <c r="G49" s="19">
        <v>0</v>
      </c>
      <c r="H49" s="9">
        <f t="shared" si="0"/>
        <v>0</v>
      </c>
      <c r="I49" s="6">
        <v>0</v>
      </c>
      <c r="J49" s="19">
        <v>0</v>
      </c>
      <c r="K49" s="6">
        <v>0</v>
      </c>
    </row>
    <row r="50" spans="1:11" x14ac:dyDescent="0.2">
      <c r="A50" s="5">
        <v>39340</v>
      </c>
      <c r="B50" s="6">
        <v>3</v>
      </c>
      <c r="C50" s="8" t="s">
        <v>37</v>
      </c>
      <c r="D50" s="8">
        <v>11</v>
      </c>
      <c r="E50" s="8" t="s">
        <v>19</v>
      </c>
      <c r="F50" s="6">
        <v>4</v>
      </c>
      <c r="G50" s="19">
        <v>1</v>
      </c>
      <c r="H50" s="9">
        <f t="shared" si="0"/>
        <v>0.25</v>
      </c>
      <c r="I50" s="6">
        <v>0</v>
      </c>
      <c r="J50" s="19">
        <v>0</v>
      </c>
      <c r="K50" s="6">
        <v>0</v>
      </c>
    </row>
    <row r="51" spans="1:11" x14ac:dyDescent="0.2">
      <c r="A51" s="5">
        <v>39348</v>
      </c>
      <c r="B51" s="6">
        <v>4</v>
      </c>
      <c r="C51" s="8" t="s">
        <v>37</v>
      </c>
      <c r="D51" s="8">
        <v>11</v>
      </c>
      <c r="E51" s="8" t="s">
        <v>19</v>
      </c>
      <c r="F51" s="6">
        <v>4</v>
      </c>
      <c r="G51" s="19">
        <v>0</v>
      </c>
      <c r="H51" s="9">
        <f t="shared" si="0"/>
        <v>0</v>
      </c>
      <c r="I51" s="6">
        <v>0</v>
      </c>
      <c r="J51" s="19">
        <v>0</v>
      </c>
      <c r="K51" s="6">
        <v>0</v>
      </c>
    </row>
    <row r="52" spans="1:11" x14ac:dyDescent="0.2">
      <c r="A52" s="5">
        <v>39355</v>
      </c>
      <c r="B52" s="6">
        <v>5</v>
      </c>
      <c r="C52" s="8" t="s">
        <v>37</v>
      </c>
      <c r="D52" s="8">
        <v>11</v>
      </c>
      <c r="E52" s="8" t="s">
        <v>19</v>
      </c>
      <c r="F52" s="6">
        <v>4</v>
      </c>
      <c r="G52" s="19">
        <v>0</v>
      </c>
      <c r="H52" s="9">
        <f t="shared" si="0"/>
        <v>0</v>
      </c>
      <c r="I52" s="6">
        <v>0</v>
      </c>
      <c r="J52" s="19">
        <v>0</v>
      </c>
      <c r="K52" s="6">
        <v>0</v>
      </c>
    </row>
    <row r="53" spans="1:11" x14ac:dyDescent="0.2">
      <c r="A53" s="5">
        <v>39327</v>
      </c>
      <c r="B53" s="6">
        <v>1</v>
      </c>
      <c r="C53" s="8" t="s">
        <v>38</v>
      </c>
      <c r="D53" s="8">
        <v>12</v>
      </c>
      <c r="E53" s="8" t="s">
        <v>20</v>
      </c>
      <c r="F53" s="6">
        <v>3</v>
      </c>
      <c r="G53" s="19">
        <v>0</v>
      </c>
      <c r="H53" s="9">
        <f t="shared" si="0"/>
        <v>0</v>
      </c>
      <c r="I53" s="6">
        <v>1</v>
      </c>
      <c r="J53" s="19">
        <v>0</v>
      </c>
      <c r="K53" s="6">
        <v>0</v>
      </c>
    </row>
    <row r="54" spans="1:11" x14ac:dyDescent="0.2">
      <c r="A54" s="5">
        <v>39333</v>
      </c>
      <c r="B54" s="6">
        <v>2</v>
      </c>
      <c r="C54" s="8" t="s">
        <v>38</v>
      </c>
      <c r="D54" s="8">
        <v>12</v>
      </c>
      <c r="E54" s="8" t="s">
        <v>20</v>
      </c>
      <c r="F54" s="6">
        <v>3</v>
      </c>
      <c r="G54" s="19">
        <v>2</v>
      </c>
      <c r="H54" s="9">
        <f t="shared" si="0"/>
        <v>0.66666666666666663</v>
      </c>
      <c r="I54" s="6">
        <v>0</v>
      </c>
      <c r="J54" s="19">
        <v>0</v>
      </c>
      <c r="K54" s="6">
        <v>0</v>
      </c>
    </row>
    <row r="55" spans="1:11" x14ac:dyDescent="0.2">
      <c r="A55" s="5">
        <v>39340</v>
      </c>
      <c r="B55" s="6">
        <v>3</v>
      </c>
      <c r="C55" s="8" t="s">
        <v>38</v>
      </c>
      <c r="D55" s="8">
        <v>12</v>
      </c>
      <c r="E55" s="8" t="s">
        <v>20</v>
      </c>
      <c r="F55" s="6">
        <v>3</v>
      </c>
      <c r="G55" s="19">
        <v>0</v>
      </c>
      <c r="H55" s="9">
        <f t="shared" si="0"/>
        <v>0</v>
      </c>
      <c r="I55" s="6">
        <v>0</v>
      </c>
      <c r="J55" s="19">
        <v>1</v>
      </c>
      <c r="K55" s="6">
        <v>0</v>
      </c>
    </row>
    <row r="56" spans="1:11" x14ac:dyDescent="0.2">
      <c r="A56" s="5">
        <v>39348</v>
      </c>
      <c r="B56" s="6">
        <v>4</v>
      </c>
      <c r="C56" s="8" t="s">
        <v>38</v>
      </c>
      <c r="D56" s="8">
        <v>12</v>
      </c>
      <c r="E56" s="8" t="s">
        <v>20</v>
      </c>
      <c r="F56" s="6">
        <v>3</v>
      </c>
      <c r="G56" s="19">
        <v>3</v>
      </c>
      <c r="H56" s="9">
        <f t="shared" si="0"/>
        <v>1</v>
      </c>
      <c r="I56" s="6">
        <v>0</v>
      </c>
      <c r="J56" s="19">
        <v>0</v>
      </c>
      <c r="K56" s="6">
        <v>1</v>
      </c>
    </row>
    <row r="57" spans="1:11" x14ac:dyDescent="0.2">
      <c r="A57" s="5">
        <v>39355</v>
      </c>
      <c r="B57" s="6">
        <v>5</v>
      </c>
      <c r="C57" s="8" t="s">
        <v>38</v>
      </c>
      <c r="D57" s="8">
        <v>12</v>
      </c>
      <c r="E57" s="8" t="s">
        <v>20</v>
      </c>
      <c r="F57" s="6">
        <v>3</v>
      </c>
      <c r="G57" s="19">
        <v>0</v>
      </c>
      <c r="H57" s="9">
        <f t="shared" si="0"/>
        <v>0</v>
      </c>
      <c r="I57" s="6">
        <v>0</v>
      </c>
      <c r="J57" s="19">
        <v>0</v>
      </c>
      <c r="K57" s="6">
        <v>0</v>
      </c>
    </row>
    <row r="58" spans="1:11" x14ac:dyDescent="0.2">
      <c r="A58" s="5">
        <v>39348</v>
      </c>
      <c r="B58" s="6">
        <v>1</v>
      </c>
      <c r="C58" s="8" t="s">
        <v>124</v>
      </c>
      <c r="D58" s="8">
        <v>13</v>
      </c>
      <c r="E58" s="8" t="s">
        <v>21</v>
      </c>
      <c r="F58" s="6">
        <v>3</v>
      </c>
      <c r="G58" s="19">
        <v>0</v>
      </c>
      <c r="H58" s="9">
        <f t="shared" si="0"/>
        <v>0</v>
      </c>
      <c r="I58" s="6">
        <v>0</v>
      </c>
      <c r="J58" s="19">
        <v>0</v>
      </c>
      <c r="K58" s="6">
        <v>0</v>
      </c>
    </row>
    <row r="59" spans="1:11" ht="13.5" thickBot="1" x14ac:dyDescent="0.25">
      <c r="A59" s="5">
        <v>39348</v>
      </c>
      <c r="B59" s="6">
        <v>1</v>
      </c>
      <c r="C59" s="8" t="s">
        <v>123</v>
      </c>
      <c r="D59" s="8">
        <v>14</v>
      </c>
      <c r="E59" s="8" t="s">
        <v>22</v>
      </c>
      <c r="F59" s="80">
        <v>3</v>
      </c>
      <c r="G59" s="84">
        <v>0</v>
      </c>
      <c r="H59" s="69">
        <f t="shared" si="0"/>
        <v>0</v>
      </c>
      <c r="I59" s="80">
        <v>0</v>
      </c>
      <c r="J59" s="84">
        <v>0</v>
      </c>
      <c r="K59" s="80">
        <v>0</v>
      </c>
    </row>
    <row r="60" spans="1:11" x14ac:dyDescent="0.2">
      <c r="E60" s="1"/>
      <c r="F60" s="3">
        <f>SUM(F4:F59)</f>
        <v>201</v>
      </c>
      <c r="G60" s="3">
        <f>SUM(G4:G59)</f>
        <v>160</v>
      </c>
      <c r="H60" s="64">
        <f t="shared" si="0"/>
        <v>0.79601990049751248</v>
      </c>
      <c r="I60" s="3">
        <f t="shared" ref="I60:K60" si="1">SUM(I4:I59)</f>
        <v>248</v>
      </c>
      <c r="J60" s="3">
        <f t="shared" si="1"/>
        <v>20</v>
      </c>
      <c r="K60" s="3">
        <f t="shared" si="1"/>
        <v>99</v>
      </c>
    </row>
    <row r="61" spans="1:11" x14ac:dyDescent="0.2">
      <c r="E61" s="1"/>
      <c r="J61" s="20"/>
    </row>
    <row r="62" spans="1:11" x14ac:dyDescent="0.2">
      <c r="E62" s="1"/>
      <c r="J62" s="20"/>
    </row>
    <row r="63" spans="1:11" x14ac:dyDescent="0.2">
      <c r="E63" s="1"/>
      <c r="J63" s="20"/>
    </row>
    <row r="64" spans="1:11" x14ac:dyDescent="0.2">
      <c r="J64" s="20"/>
    </row>
  </sheetData>
  <phoneticPr fontId="0" type="noConversion"/>
  <pageMargins left="0.75" right="0.75" top="1" bottom="1" header="0.5" footer="0.5"/>
  <pageSetup orientation="portrait" r:id="rId1"/>
  <headerFooter alignWithMargins="0"/>
  <ignoredErrors>
    <ignoredError sqref="H60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60"/>
  <sheetViews>
    <sheetView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G44" sqref="G44:G57"/>
    </sheetView>
  </sheetViews>
  <sheetFormatPr defaultRowHeight="12.75" x14ac:dyDescent="0.2"/>
  <cols>
    <col min="5" max="5" width="29.140625" bestFit="1" customWidth="1"/>
  </cols>
  <sheetData>
    <row r="1" spans="1:11" x14ac:dyDescent="0.2">
      <c r="A1" s="2"/>
      <c r="B1" s="2"/>
      <c r="C1" s="2" t="s">
        <v>25</v>
      </c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1" x14ac:dyDescent="0.2">
      <c r="A2" s="2" t="s">
        <v>0</v>
      </c>
      <c r="B2" s="2" t="s">
        <v>1</v>
      </c>
      <c r="C2" s="2" t="s">
        <v>26</v>
      </c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1" ht="13.5" thickBot="1" x14ac:dyDescent="0.25">
      <c r="A3" s="1"/>
      <c r="I3" s="1"/>
      <c r="J3" s="4" t="s">
        <v>6</v>
      </c>
      <c r="K3" s="4" t="s">
        <v>7</v>
      </c>
    </row>
    <row r="4" spans="1:11" x14ac:dyDescent="0.2">
      <c r="A4" s="5">
        <v>39321</v>
      </c>
      <c r="B4" s="6">
        <v>1</v>
      </c>
      <c r="C4" s="8" t="s">
        <v>27</v>
      </c>
      <c r="D4" s="8">
        <v>1</v>
      </c>
      <c r="E4" s="6" t="s">
        <v>9</v>
      </c>
      <c r="F4" s="6">
        <v>6</v>
      </c>
      <c r="G4" s="6">
        <v>0</v>
      </c>
      <c r="H4" s="9">
        <f t="shared" ref="H4:H35" si="0">G4/F4</f>
        <v>0</v>
      </c>
      <c r="I4" s="6">
        <v>0</v>
      </c>
      <c r="J4" s="6">
        <v>0</v>
      </c>
      <c r="K4" s="6">
        <v>0</v>
      </c>
    </row>
    <row r="5" spans="1:11" x14ac:dyDescent="0.2">
      <c r="A5" s="5">
        <v>39328</v>
      </c>
      <c r="B5" s="6">
        <v>2</v>
      </c>
      <c r="C5" s="8" t="s">
        <v>27</v>
      </c>
      <c r="D5" s="8">
        <v>1</v>
      </c>
      <c r="E5" s="6" t="s">
        <v>9</v>
      </c>
      <c r="F5" s="6">
        <v>6</v>
      </c>
      <c r="G5" s="6">
        <v>0</v>
      </c>
      <c r="H5" s="9">
        <f t="shared" si="0"/>
        <v>0</v>
      </c>
      <c r="I5" s="6">
        <v>0</v>
      </c>
      <c r="J5" s="6">
        <v>0</v>
      </c>
      <c r="K5" s="6">
        <v>0</v>
      </c>
    </row>
    <row r="6" spans="1:11" x14ac:dyDescent="0.2">
      <c r="A6" s="5">
        <v>39335</v>
      </c>
      <c r="B6" s="6">
        <v>3</v>
      </c>
      <c r="C6" s="8" t="s">
        <v>27</v>
      </c>
      <c r="D6" s="8">
        <v>1</v>
      </c>
      <c r="E6" s="6" t="s">
        <v>9</v>
      </c>
      <c r="F6" s="6">
        <v>6</v>
      </c>
      <c r="G6" s="6">
        <v>0</v>
      </c>
      <c r="H6" s="9">
        <f t="shared" si="0"/>
        <v>0</v>
      </c>
      <c r="I6" s="6">
        <v>0</v>
      </c>
      <c r="J6" s="6">
        <v>0</v>
      </c>
      <c r="K6" s="6">
        <v>0</v>
      </c>
    </row>
    <row r="7" spans="1:11" x14ac:dyDescent="0.2">
      <c r="A7" s="5">
        <v>39342</v>
      </c>
      <c r="B7" s="6">
        <v>4</v>
      </c>
      <c r="C7" s="8" t="s">
        <v>27</v>
      </c>
      <c r="D7" s="8">
        <v>1</v>
      </c>
      <c r="E7" s="6" t="s">
        <v>9</v>
      </c>
      <c r="F7" s="85">
        <v>6</v>
      </c>
      <c r="G7" s="85">
        <v>0</v>
      </c>
      <c r="H7" s="79">
        <f t="shared" si="0"/>
        <v>0</v>
      </c>
      <c r="I7" s="85">
        <v>0</v>
      </c>
      <c r="J7" s="85">
        <v>0</v>
      </c>
      <c r="K7" s="85">
        <v>0</v>
      </c>
    </row>
    <row r="8" spans="1:11" x14ac:dyDescent="0.2">
      <c r="A8" s="5">
        <v>39321</v>
      </c>
      <c r="B8" s="6">
        <v>1</v>
      </c>
      <c r="C8" s="8" t="s">
        <v>28</v>
      </c>
      <c r="D8" s="8">
        <v>2</v>
      </c>
      <c r="E8" s="6" t="s">
        <v>10</v>
      </c>
      <c r="F8" s="6">
        <v>3</v>
      </c>
      <c r="G8" s="6">
        <v>0</v>
      </c>
      <c r="H8" s="9">
        <f t="shared" si="0"/>
        <v>0</v>
      </c>
      <c r="I8" s="6">
        <v>0</v>
      </c>
      <c r="J8" s="6">
        <v>0</v>
      </c>
      <c r="K8" s="6">
        <v>0</v>
      </c>
    </row>
    <row r="9" spans="1:11" x14ac:dyDescent="0.2">
      <c r="A9" s="5">
        <v>39328</v>
      </c>
      <c r="B9" s="6">
        <v>2</v>
      </c>
      <c r="C9" s="8" t="s">
        <v>28</v>
      </c>
      <c r="D9" s="8">
        <v>2</v>
      </c>
      <c r="E9" s="6" t="s">
        <v>10</v>
      </c>
      <c r="F9" s="6">
        <v>3</v>
      </c>
      <c r="G9" s="6">
        <v>0</v>
      </c>
      <c r="H9" s="9">
        <f t="shared" si="0"/>
        <v>0</v>
      </c>
      <c r="I9" s="6">
        <v>0</v>
      </c>
      <c r="J9" s="6">
        <v>0</v>
      </c>
      <c r="K9" s="6">
        <v>0</v>
      </c>
    </row>
    <row r="10" spans="1:11" x14ac:dyDescent="0.2">
      <c r="A10" s="5">
        <v>39335</v>
      </c>
      <c r="B10" s="6">
        <v>3</v>
      </c>
      <c r="C10" s="8" t="s">
        <v>28</v>
      </c>
      <c r="D10" s="8">
        <v>2</v>
      </c>
      <c r="E10" s="6" t="s">
        <v>10</v>
      </c>
      <c r="F10" s="6">
        <v>3</v>
      </c>
      <c r="G10" s="6">
        <v>3</v>
      </c>
      <c r="H10" s="9">
        <f t="shared" si="0"/>
        <v>1</v>
      </c>
      <c r="I10" s="6">
        <v>3</v>
      </c>
      <c r="J10" s="6">
        <v>1</v>
      </c>
      <c r="K10" s="6">
        <v>0</v>
      </c>
    </row>
    <row r="11" spans="1:11" x14ac:dyDescent="0.2">
      <c r="A11" s="5">
        <v>39342</v>
      </c>
      <c r="B11" s="6">
        <v>4</v>
      </c>
      <c r="C11" s="8" t="s">
        <v>28</v>
      </c>
      <c r="D11" s="8">
        <v>2</v>
      </c>
      <c r="E11" s="6" t="s">
        <v>10</v>
      </c>
      <c r="F11" s="6">
        <v>3</v>
      </c>
      <c r="G11" s="6">
        <v>0</v>
      </c>
      <c r="H11" s="9">
        <f t="shared" si="0"/>
        <v>0</v>
      </c>
      <c r="I11" s="6">
        <v>0</v>
      </c>
      <c r="J11" s="6">
        <v>0</v>
      </c>
      <c r="K11" s="6">
        <v>0</v>
      </c>
    </row>
    <row r="12" spans="1:11" x14ac:dyDescent="0.2">
      <c r="A12" s="5">
        <v>39349</v>
      </c>
      <c r="B12" s="6">
        <v>5</v>
      </c>
      <c r="C12" s="8" t="s">
        <v>28</v>
      </c>
      <c r="D12" s="8">
        <v>2</v>
      </c>
      <c r="E12" s="6" t="s">
        <v>10</v>
      </c>
      <c r="F12" s="6">
        <v>3</v>
      </c>
      <c r="G12" s="6">
        <v>0</v>
      </c>
      <c r="H12" s="9">
        <f t="shared" si="0"/>
        <v>0</v>
      </c>
      <c r="I12" s="6">
        <v>0</v>
      </c>
      <c r="J12" s="6">
        <v>0</v>
      </c>
      <c r="K12" s="6">
        <v>0</v>
      </c>
    </row>
    <row r="13" spans="1:11" x14ac:dyDescent="0.2">
      <c r="A13" s="5">
        <v>39321</v>
      </c>
      <c r="B13" s="6">
        <v>1</v>
      </c>
      <c r="C13" s="8" t="s">
        <v>29</v>
      </c>
      <c r="D13" s="8">
        <v>3</v>
      </c>
      <c r="E13" s="6" t="s">
        <v>11</v>
      </c>
      <c r="F13" s="6">
        <v>2</v>
      </c>
      <c r="G13" s="6">
        <v>0</v>
      </c>
      <c r="H13" s="9">
        <f t="shared" si="0"/>
        <v>0</v>
      </c>
      <c r="I13" s="6">
        <v>0</v>
      </c>
      <c r="J13" s="6">
        <v>0</v>
      </c>
      <c r="K13" s="6">
        <v>0</v>
      </c>
    </row>
    <row r="14" spans="1:11" x14ac:dyDescent="0.2">
      <c r="A14" s="5">
        <v>39328</v>
      </c>
      <c r="B14" s="6">
        <v>2</v>
      </c>
      <c r="C14" s="8" t="s">
        <v>29</v>
      </c>
      <c r="D14" s="8">
        <v>3</v>
      </c>
      <c r="E14" s="6" t="s">
        <v>11</v>
      </c>
      <c r="F14" s="6">
        <v>2</v>
      </c>
      <c r="G14" s="6">
        <v>2</v>
      </c>
      <c r="H14" s="9">
        <f t="shared" si="0"/>
        <v>1</v>
      </c>
      <c r="I14" s="6">
        <v>6</v>
      </c>
      <c r="J14" s="6">
        <v>0</v>
      </c>
      <c r="K14" s="6">
        <v>0</v>
      </c>
    </row>
    <row r="15" spans="1:11" x14ac:dyDescent="0.2">
      <c r="A15" s="5">
        <v>39335</v>
      </c>
      <c r="B15" s="6">
        <v>3</v>
      </c>
      <c r="C15" s="8" t="s">
        <v>29</v>
      </c>
      <c r="D15" s="8">
        <v>3</v>
      </c>
      <c r="E15" s="6" t="s">
        <v>11</v>
      </c>
      <c r="F15" s="6">
        <v>2</v>
      </c>
      <c r="G15" s="6">
        <v>0</v>
      </c>
      <c r="H15" s="9">
        <f t="shared" si="0"/>
        <v>0</v>
      </c>
      <c r="I15" s="6">
        <v>4</v>
      </c>
      <c r="J15" s="6">
        <v>0</v>
      </c>
      <c r="K15" s="6">
        <v>0</v>
      </c>
    </row>
    <row r="16" spans="1:11" x14ac:dyDescent="0.2">
      <c r="A16" s="5">
        <v>39342</v>
      </c>
      <c r="B16" s="6">
        <v>4</v>
      </c>
      <c r="C16" s="8" t="s">
        <v>29</v>
      </c>
      <c r="D16" s="8">
        <v>3</v>
      </c>
      <c r="E16" s="6" t="s">
        <v>11</v>
      </c>
      <c r="F16" s="6">
        <v>2</v>
      </c>
      <c r="G16" s="6">
        <v>0</v>
      </c>
      <c r="H16" s="9">
        <f t="shared" si="0"/>
        <v>0</v>
      </c>
      <c r="I16" s="6">
        <v>1</v>
      </c>
      <c r="J16" s="6">
        <v>0</v>
      </c>
      <c r="K16" s="6">
        <v>0</v>
      </c>
    </row>
    <row r="17" spans="1:11" x14ac:dyDescent="0.2">
      <c r="A17" s="5">
        <v>39349</v>
      </c>
      <c r="B17" s="6">
        <v>5</v>
      </c>
      <c r="C17" s="8" t="s">
        <v>29</v>
      </c>
      <c r="D17" s="8">
        <v>3</v>
      </c>
      <c r="E17" s="6" t="s">
        <v>11</v>
      </c>
      <c r="F17" s="6">
        <v>2</v>
      </c>
      <c r="G17" s="6">
        <v>0</v>
      </c>
      <c r="H17" s="9">
        <f t="shared" si="0"/>
        <v>0</v>
      </c>
      <c r="I17" s="6">
        <v>0</v>
      </c>
      <c r="J17" s="6">
        <v>0</v>
      </c>
      <c r="K17" s="6">
        <v>0</v>
      </c>
    </row>
    <row r="18" spans="1:11" x14ac:dyDescent="0.2">
      <c r="A18" s="5">
        <v>39321</v>
      </c>
      <c r="B18" s="6">
        <v>1</v>
      </c>
      <c r="C18" s="8" t="s">
        <v>30</v>
      </c>
      <c r="D18" s="8">
        <v>4</v>
      </c>
      <c r="E18" s="6" t="s">
        <v>12</v>
      </c>
      <c r="F18" s="6">
        <v>5</v>
      </c>
      <c r="G18" s="6">
        <v>1</v>
      </c>
      <c r="H18" s="9">
        <f t="shared" si="0"/>
        <v>0.2</v>
      </c>
      <c r="I18" s="6">
        <v>2</v>
      </c>
      <c r="J18" s="6">
        <v>0</v>
      </c>
      <c r="K18" s="6">
        <v>0</v>
      </c>
    </row>
    <row r="19" spans="1:11" x14ac:dyDescent="0.2">
      <c r="A19" s="5">
        <v>39328</v>
      </c>
      <c r="B19" s="6">
        <v>2</v>
      </c>
      <c r="C19" s="8" t="s">
        <v>30</v>
      </c>
      <c r="D19" s="8">
        <v>4</v>
      </c>
      <c r="E19" s="6" t="s">
        <v>12</v>
      </c>
      <c r="F19" s="6">
        <v>5</v>
      </c>
      <c r="G19" s="6">
        <v>2</v>
      </c>
      <c r="H19" s="9">
        <f t="shared" si="0"/>
        <v>0.4</v>
      </c>
      <c r="I19" s="6">
        <v>4</v>
      </c>
      <c r="J19" s="6">
        <v>0</v>
      </c>
      <c r="K19" s="6">
        <v>0</v>
      </c>
    </row>
    <row r="20" spans="1:11" x14ac:dyDescent="0.2">
      <c r="A20" s="5">
        <v>39335</v>
      </c>
      <c r="B20" s="6">
        <v>3</v>
      </c>
      <c r="C20" s="8" t="s">
        <v>30</v>
      </c>
      <c r="D20" s="8">
        <v>4</v>
      </c>
      <c r="E20" s="6" t="s">
        <v>12</v>
      </c>
      <c r="F20" s="6">
        <v>5</v>
      </c>
      <c r="G20" s="6">
        <v>6</v>
      </c>
      <c r="H20" s="9">
        <f t="shared" si="0"/>
        <v>1.2</v>
      </c>
      <c r="I20" s="6">
        <v>7</v>
      </c>
      <c r="J20" s="6">
        <v>1</v>
      </c>
      <c r="K20" s="6">
        <v>0</v>
      </c>
    </row>
    <row r="21" spans="1:11" x14ac:dyDescent="0.2">
      <c r="A21" s="5">
        <v>39342</v>
      </c>
      <c r="B21" s="6">
        <v>4</v>
      </c>
      <c r="C21" s="8" t="s">
        <v>30</v>
      </c>
      <c r="D21" s="8">
        <v>4</v>
      </c>
      <c r="E21" s="6" t="s">
        <v>12</v>
      </c>
      <c r="F21" s="6">
        <v>5</v>
      </c>
      <c r="G21" s="6">
        <v>4</v>
      </c>
      <c r="H21" s="9">
        <f t="shared" si="0"/>
        <v>0.8</v>
      </c>
      <c r="I21" s="6">
        <v>9</v>
      </c>
      <c r="J21" s="6">
        <v>1</v>
      </c>
      <c r="K21" s="6">
        <v>0</v>
      </c>
    </row>
    <row r="22" spans="1:11" x14ac:dyDescent="0.2">
      <c r="A22" s="5">
        <v>39349</v>
      </c>
      <c r="B22" s="6">
        <v>5</v>
      </c>
      <c r="C22" s="8" t="s">
        <v>30</v>
      </c>
      <c r="D22" s="8">
        <v>4</v>
      </c>
      <c r="E22" s="6" t="s">
        <v>12</v>
      </c>
      <c r="F22" s="6">
        <v>5</v>
      </c>
      <c r="G22" s="6">
        <v>1</v>
      </c>
      <c r="H22" s="9">
        <f t="shared" si="0"/>
        <v>0.2</v>
      </c>
      <c r="I22" s="6">
        <v>0</v>
      </c>
      <c r="J22" s="6">
        <v>0</v>
      </c>
      <c r="K22" s="6">
        <v>1</v>
      </c>
    </row>
    <row r="23" spans="1:11" x14ac:dyDescent="0.2">
      <c r="A23" s="5">
        <v>39321</v>
      </c>
      <c r="B23" s="6">
        <v>1</v>
      </c>
      <c r="C23" s="8" t="s">
        <v>31</v>
      </c>
      <c r="D23" s="8">
        <v>5</v>
      </c>
      <c r="E23" s="6" t="s">
        <v>13</v>
      </c>
      <c r="F23" s="6">
        <v>2</v>
      </c>
      <c r="G23" s="6">
        <v>0</v>
      </c>
      <c r="H23" s="9">
        <f t="shared" si="0"/>
        <v>0</v>
      </c>
      <c r="I23" s="6">
        <v>0</v>
      </c>
      <c r="J23" s="6">
        <v>0</v>
      </c>
      <c r="K23" s="6">
        <v>0</v>
      </c>
    </row>
    <row r="24" spans="1:11" x14ac:dyDescent="0.2">
      <c r="A24" s="5">
        <v>39328</v>
      </c>
      <c r="B24" s="6">
        <v>2</v>
      </c>
      <c r="C24" s="8" t="s">
        <v>31</v>
      </c>
      <c r="D24" s="8">
        <v>5</v>
      </c>
      <c r="E24" s="6" t="s">
        <v>13</v>
      </c>
      <c r="F24" s="6">
        <v>2</v>
      </c>
      <c r="G24" s="6">
        <v>2</v>
      </c>
      <c r="H24" s="9">
        <f t="shared" si="0"/>
        <v>1</v>
      </c>
      <c r="I24" s="6">
        <v>0</v>
      </c>
      <c r="J24" s="6">
        <v>0</v>
      </c>
      <c r="K24" s="6">
        <v>0</v>
      </c>
    </row>
    <row r="25" spans="1:11" x14ac:dyDescent="0.2">
      <c r="A25" s="5">
        <v>39335</v>
      </c>
      <c r="B25" s="6">
        <v>3</v>
      </c>
      <c r="C25" s="8" t="s">
        <v>31</v>
      </c>
      <c r="D25" s="8">
        <v>5</v>
      </c>
      <c r="E25" s="6" t="s">
        <v>13</v>
      </c>
      <c r="F25" s="6">
        <v>2</v>
      </c>
      <c r="G25" s="6">
        <v>6</v>
      </c>
      <c r="H25" s="9">
        <f t="shared" si="0"/>
        <v>3</v>
      </c>
      <c r="I25" s="6">
        <v>1</v>
      </c>
      <c r="J25" s="6">
        <v>0</v>
      </c>
      <c r="K25" s="6">
        <v>1</v>
      </c>
    </row>
    <row r="26" spans="1:11" x14ac:dyDescent="0.2">
      <c r="A26" s="5">
        <v>39342</v>
      </c>
      <c r="B26" s="6">
        <v>4</v>
      </c>
      <c r="C26" s="8" t="s">
        <v>31</v>
      </c>
      <c r="D26" s="8">
        <v>5</v>
      </c>
      <c r="E26" s="6" t="s">
        <v>13</v>
      </c>
      <c r="F26" s="6">
        <v>2</v>
      </c>
      <c r="G26" s="6">
        <v>3</v>
      </c>
      <c r="H26" s="9">
        <f t="shared" si="0"/>
        <v>1.5</v>
      </c>
      <c r="I26" s="6">
        <v>1</v>
      </c>
      <c r="J26" s="6">
        <v>0</v>
      </c>
      <c r="K26" s="6">
        <v>0</v>
      </c>
    </row>
    <row r="27" spans="1:11" x14ac:dyDescent="0.2">
      <c r="A27" s="5">
        <v>39349</v>
      </c>
      <c r="B27" s="6">
        <v>5</v>
      </c>
      <c r="C27" s="8" t="s">
        <v>31</v>
      </c>
      <c r="D27" s="8">
        <v>5</v>
      </c>
      <c r="E27" s="6" t="s">
        <v>13</v>
      </c>
      <c r="F27" s="6">
        <v>2</v>
      </c>
      <c r="G27" s="6">
        <v>1</v>
      </c>
      <c r="H27" s="9">
        <f t="shared" si="0"/>
        <v>0.5</v>
      </c>
      <c r="I27" s="6">
        <v>2</v>
      </c>
      <c r="J27" s="6">
        <v>0</v>
      </c>
      <c r="K27" s="6">
        <v>0</v>
      </c>
    </row>
    <row r="28" spans="1:11" x14ac:dyDescent="0.2">
      <c r="A28" s="5">
        <v>39321</v>
      </c>
      <c r="B28" s="6">
        <v>1</v>
      </c>
      <c r="C28" s="8" t="s">
        <v>32</v>
      </c>
      <c r="D28" s="8">
        <v>6</v>
      </c>
      <c r="E28" s="6" t="s">
        <v>14</v>
      </c>
      <c r="F28" s="6">
        <v>4</v>
      </c>
      <c r="G28" s="6">
        <v>1</v>
      </c>
      <c r="H28" s="9">
        <f t="shared" si="0"/>
        <v>0.25</v>
      </c>
      <c r="I28" s="6">
        <v>2</v>
      </c>
      <c r="J28" s="6">
        <v>0</v>
      </c>
      <c r="K28" s="6">
        <v>0</v>
      </c>
    </row>
    <row r="29" spans="1:11" x14ac:dyDescent="0.2">
      <c r="A29" s="5">
        <v>39328</v>
      </c>
      <c r="B29" s="6">
        <v>2</v>
      </c>
      <c r="C29" s="8" t="s">
        <v>32</v>
      </c>
      <c r="D29" s="8">
        <v>6</v>
      </c>
      <c r="E29" s="6" t="s">
        <v>14</v>
      </c>
      <c r="F29" s="6">
        <v>4</v>
      </c>
      <c r="G29" s="6">
        <v>5</v>
      </c>
      <c r="H29" s="9">
        <f t="shared" si="0"/>
        <v>1.25</v>
      </c>
      <c r="I29" s="6">
        <v>8</v>
      </c>
      <c r="J29" s="6">
        <v>0</v>
      </c>
      <c r="K29" s="6">
        <v>0</v>
      </c>
    </row>
    <row r="30" spans="1:11" x14ac:dyDescent="0.2">
      <c r="A30" s="5">
        <v>39335</v>
      </c>
      <c r="B30" s="6">
        <v>3</v>
      </c>
      <c r="C30" s="8" t="s">
        <v>32</v>
      </c>
      <c r="D30" s="8">
        <v>6</v>
      </c>
      <c r="E30" s="6" t="s">
        <v>14</v>
      </c>
      <c r="F30" s="6">
        <v>4</v>
      </c>
      <c r="G30" s="6">
        <v>5</v>
      </c>
      <c r="H30" s="9">
        <f t="shared" si="0"/>
        <v>1.25</v>
      </c>
      <c r="I30" s="6">
        <v>8</v>
      </c>
      <c r="J30" s="6">
        <v>0</v>
      </c>
      <c r="K30" s="6">
        <v>0</v>
      </c>
    </row>
    <row r="31" spans="1:11" x14ac:dyDescent="0.2">
      <c r="A31" s="5">
        <v>39342</v>
      </c>
      <c r="B31" s="6">
        <v>4</v>
      </c>
      <c r="C31" s="8" t="s">
        <v>32</v>
      </c>
      <c r="D31" s="8">
        <v>6</v>
      </c>
      <c r="E31" s="6" t="s">
        <v>14</v>
      </c>
      <c r="F31" s="6">
        <v>4</v>
      </c>
      <c r="G31" s="6">
        <v>12</v>
      </c>
      <c r="H31" s="9">
        <f t="shared" si="0"/>
        <v>3</v>
      </c>
      <c r="I31" s="6">
        <v>4</v>
      </c>
      <c r="J31" s="6">
        <v>1</v>
      </c>
      <c r="K31" s="6">
        <v>3</v>
      </c>
    </row>
    <row r="32" spans="1:11" x14ac:dyDescent="0.2">
      <c r="A32" s="5">
        <v>39349</v>
      </c>
      <c r="B32" s="6">
        <v>5</v>
      </c>
      <c r="C32" s="8" t="s">
        <v>32</v>
      </c>
      <c r="D32" s="8">
        <v>6</v>
      </c>
      <c r="E32" s="6" t="s">
        <v>14</v>
      </c>
      <c r="F32" s="6">
        <v>4</v>
      </c>
      <c r="G32" s="6">
        <v>1</v>
      </c>
      <c r="H32" s="9">
        <f t="shared" si="0"/>
        <v>0.25</v>
      </c>
      <c r="I32" s="6">
        <v>1</v>
      </c>
      <c r="J32" s="6">
        <v>4</v>
      </c>
      <c r="K32" s="6">
        <v>1</v>
      </c>
    </row>
    <row r="33" spans="1:11" x14ac:dyDescent="0.2">
      <c r="A33" s="5">
        <v>39321</v>
      </c>
      <c r="B33" s="6">
        <v>1</v>
      </c>
      <c r="C33" s="8" t="s">
        <v>33</v>
      </c>
      <c r="D33" s="8">
        <v>7</v>
      </c>
      <c r="E33" s="6" t="s">
        <v>15</v>
      </c>
      <c r="F33" s="6">
        <v>3</v>
      </c>
      <c r="G33" s="6">
        <v>0</v>
      </c>
      <c r="H33" s="9">
        <f t="shared" si="0"/>
        <v>0</v>
      </c>
      <c r="I33" s="6">
        <v>1</v>
      </c>
      <c r="J33" s="6">
        <v>0</v>
      </c>
      <c r="K33" s="6">
        <v>1</v>
      </c>
    </row>
    <row r="34" spans="1:11" x14ac:dyDescent="0.2">
      <c r="A34" s="5">
        <v>39328</v>
      </c>
      <c r="B34" s="6">
        <v>2</v>
      </c>
      <c r="C34" s="8" t="s">
        <v>33</v>
      </c>
      <c r="D34" s="8">
        <v>7</v>
      </c>
      <c r="E34" s="6" t="s">
        <v>15</v>
      </c>
      <c r="F34" s="6">
        <v>3</v>
      </c>
      <c r="G34" s="6">
        <v>0</v>
      </c>
      <c r="H34" s="9">
        <f t="shared" si="0"/>
        <v>0</v>
      </c>
      <c r="I34" s="6">
        <v>0</v>
      </c>
      <c r="J34" s="6">
        <v>1</v>
      </c>
      <c r="K34" s="6">
        <v>0</v>
      </c>
    </row>
    <row r="35" spans="1:11" x14ac:dyDescent="0.2">
      <c r="A35" s="5">
        <v>39335</v>
      </c>
      <c r="B35" s="6">
        <v>3</v>
      </c>
      <c r="C35" s="8" t="s">
        <v>33</v>
      </c>
      <c r="D35" s="8">
        <v>7</v>
      </c>
      <c r="E35" s="6" t="s">
        <v>15</v>
      </c>
      <c r="F35" s="6">
        <v>3</v>
      </c>
      <c r="G35" s="6">
        <v>6</v>
      </c>
      <c r="H35" s="9">
        <f t="shared" si="0"/>
        <v>2</v>
      </c>
      <c r="I35" s="6">
        <v>7</v>
      </c>
      <c r="J35" s="6">
        <v>2</v>
      </c>
      <c r="K35" s="6">
        <v>1</v>
      </c>
    </row>
    <row r="36" spans="1:11" x14ac:dyDescent="0.2">
      <c r="A36" s="5">
        <v>39342</v>
      </c>
      <c r="B36" s="6">
        <v>4</v>
      </c>
      <c r="C36" s="8" t="s">
        <v>33</v>
      </c>
      <c r="D36" s="8">
        <v>7</v>
      </c>
      <c r="E36" s="6" t="s">
        <v>15</v>
      </c>
      <c r="F36" s="6">
        <v>3</v>
      </c>
      <c r="G36" s="6">
        <v>0</v>
      </c>
      <c r="H36" s="9">
        <f t="shared" ref="H36:H59" si="1">G36/F36</f>
        <v>0</v>
      </c>
      <c r="I36" s="6">
        <v>1</v>
      </c>
      <c r="J36" s="6">
        <v>1</v>
      </c>
      <c r="K36" s="6">
        <v>3</v>
      </c>
    </row>
    <row r="37" spans="1:11" x14ac:dyDescent="0.2">
      <c r="A37" s="5">
        <v>39349</v>
      </c>
      <c r="B37" s="6">
        <v>5</v>
      </c>
      <c r="C37" s="8" t="s">
        <v>33</v>
      </c>
      <c r="D37" s="8">
        <v>7</v>
      </c>
      <c r="E37" s="6" t="s">
        <v>15</v>
      </c>
      <c r="F37" s="6">
        <v>3</v>
      </c>
      <c r="G37" s="6">
        <v>0</v>
      </c>
      <c r="H37" s="9">
        <f t="shared" si="1"/>
        <v>0</v>
      </c>
      <c r="I37" s="6">
        <v>0</v>
      </c>
      <c r="J37" s="6">
        <v>0</v>
      </c>
      <c r="K37" s="6">
        <v>1</v>
      </c>
    </row>
    <row r="38" spans="1:11" x14ac:dyDescent="0.2">
      <c r="A38" s="5">
        <v>39321</v>
      </c>
      <c r="B38" s="6">
        <v>1</v>
      </c>
      <c r="C38" s="8" t="s">
        <v>34</v>
      </c>
      <c r="D38" s="8">
        <v>8</v>
      </c>
      <c r="E38" s="6" t="s">
        <v>16</v>
      </c>
      <c r="F38" s="6">
        <v>3</v>
      </c>
      <c r="G38" s="6">
        <v>0</v>
      </c>
      <c r="H38" s="9">
        <f t="shared" si="1"/>
        <v>0</v>
      </c>
      <c r="I38" s="6">
        <v>1</v>
      </c>
      <c r="J38" s="6">
        <v>0</v>
      </c>
      <c r="K38" s="6">
        <v>0</v>
      </c>
    </row>
    <row r="39" spans="1:11" x14ac:dyDescent="0.2">
      <c r="A39" s="5">
        <v>39328</v>
      </c>
      <c r="B39" s="6">
        <v>2</v>
      </c>
      <c r="C39" s="8" t="s">
        <v>34</v>
      </c>
      <c r="D39" s="8">
        <v>8</v>
      </c>
      <c r="E39" s="6" t="s">
        <v>16</v>
      </c>
      <c r="F39" s="6">
        <v>3</v>
      </c>
      <c r="G39" s="6">
        <v>1</v>
      </c>
      <c r="H39" s="9">
        <f t="shared" si="1"/>
        <v>0.33333333333333331</v>
      </c>
      <c r="I39" s="6">
        <v>1</v>
      </c>
      <c r="J39" s="6">
        <v>0</v>
      </c>
      <c r="K39" s="6">
        <v>0</v>
      </c>
    </row>
    <row r="40" spans="1:11" x14ac:dyDescent="0.2">
      <c r="A40" s="5">
        <v>39335</v>
      </c>
      <c r="B40" s="6">
        <v>3</v>
      </c>
      <c r="C40" s="8" t="s">
        <v>34</v>
      </c>
      <c r="D40" s="8">
        <v>8</v>
      </c>
      <c r="E40" s="6" t="s">
        <v>16</v>
      </c>
      <c r="F40" s="6">
        <v>3</v>
      </c>
      <c r="G40" s="6">
        <v>15</v>
      </c>
      <c r="H40" s="9">
        <f t="shared" si="1"/>
        <v>5</v>
      </c>
      <c r="I40" s="6">
        <v>27</v>
      </c>
      <c r="J40" s="6">
        <v>0</v>
      </c>
      <c r="K40" s="6">
        <v>2</v>
      </c>
    </row>
    <row r="41" spans="1:11" x14ac:dyDescent="0.2">
      <c r="A41" s="5">
        <v>39342</v>
      </c>
      <c r="B41" s="6">
        <v>4</v>
      </c>
      <c r="C41" s="8" t="s">
        <v>34</v>
      </c>
      <c r="D41" s="8">
        <v>8</v>
      </c>
      <c r="E41" s="6" t="s">
        <v>16</v>
      </c>
      <c r="F41" s="6">
        <v>3</v>
      </c>
      <c r="G41" s="6">
        <v>12</v>
      </c>
      <c r="H41" s="9">
        <f t="shared" si="1"/>
        <v>4</v>
      </c>
      <c r="I41" s="6">
        <v>22</v>
      </c>
      <c r="J41" s="6">
        <v>1</v>
      </c>
      <c r="K41" s="6">
        <v>5</v>
      </c>
    </row>
    <row r="42" spans="1:11" x14ac:dyDescent="0.2">
      <c r="A42" s="5">
        <v>39349</v>
      </c>
      <c r="B42" s="6">
        <v>5</v>
      </c>
      <c r="C42" s="8" t="s">
        <v>34</v>
      </c>
      <c r="D42" s="8">
        <v>8</v>
      </c>
      <c r="E42" s="6" t="s">
        <v>16</v>
      </c>
      <c r="F42" s="6">
        <v>3</v>
      </c>
      <c r="G42" s="6">
        <v>3</v>
      </c>
      <c r="H42" s="9">
        <f t="shared" si="1"/>
        <v>1</v>
      </c>
      <c r="I42" s="6">
        <v>6</v>
      </c>
      <c r="J42" s="6">
        <v>1</v>
      </c>
      <c r="K42" s="6">
        <v>13</v>
      </c>
    </row>
    <row r="43" spans="1:11" x14ac:dyDescent="0.2">
      <c r="A43" s="5">
        <v>39354</v>
      </c>
      <c r="B43" s="6">
        <v>6</v>
      </c>
      <c r="C43" s="8" t="s">
        <v>34</v>
      </c>
      <c r="D43" s="8">
        <v>8</v>
      </c>
      <c r="E43" s="6" t="s">
        <v>16</v>
      </c>
      <c r="F43" s="6">
        <v>3</v>
      </c>
      <c r="G43" s="6">
        <v>0</v>
      </c>
      <c r="H43" s="9">
        <f t="shared" si="1"/>
        <v>0</v>
      </c>
      <c r="I43" s="6">
        <v>0</v>
      </c>
      <c r="J43" s="6">
        <v>0</v>
      </c>
      <c r="K43" s="6">
        <v>1</v>
      </c>
    </row>
    <row r="44" spans="1:11" x14ac:dyDescent="0.2">
      <c r="A44" s="5">
        <v>39328</v>
      </c>
      <c r="B44" s="6">
        <v>1</v>
      </c>
      <c r="C44" s="8" t="s">
        <v>35</v>
      </c>
      <c r="D44" s="8">
        <v>9</v>
      </c>
      <c r="E44" s="6" t="s">
        <v>17</v>
      </c>
      <c r="F44" s="6">
        <v>4</v>
      </c>
      <c r="G44" s="6">
        <v>4</v>
      </c>
      <c r="H44" s="9">
        <f t="shared" si="1"/>
        <v>1</v>
      </c>
      <c r="I44" s="6">
        <v>5</v>
      </c>
      <c r="J44" s="6">
        <v>0</v>
      </c>
      <c r="K44" s="6">
        <v>0</v>
      </c>
    </row>
    <row r="45" spans="1:11" x14ac:dyDescent="0.2">
      <c r="A45" s="5">
        <v>39335</v>
      </c>
      <c r="B45" s="6">
        <v>2</v>
      </c>
      <c r="C45" s="8" t="s">
        <v>35</v>
      </c>
      <c r="D45" s="8">
        <v>9</v>
      </c>
      <c r="E45" s="6" t="s">
        <v>17</v>
      </c>
      <c r="F45" s="6">
        <v>4</v>
      </c>
      <c r="G45" s="6">
        <v>5</v>
      </c>
      <c r="H45" s="9">
        <f t="shared" si="1"/>
        <v>1.25</v>
      </c>
      <c r="I45" s="6">
        <v>10</v>
      </c>
      <c r="J45" s="6">
        <v>0</v>
      </c>
      <c r="K45" s="6">
        <v>2</v>
      </c>
    </row>
    <row r="46" spans="1:11" x14ac:dyDescent="0.2">
      <c r="A46" s="5">
        <v>39342</v>
      </c>
      <c r="B46" s="6">
        <v>3</v>
      </c>
      <c r="C46" s="8" t="s">
        <v>35</v>
      </c>
      <c r="D46" s="8">
        <v>9</v>
      </c>
      <c r="E46" s="6" t="s">
        <v>17</v>
      </c>
      <c r="F46" s="6">
        <v>4</v>
      </c>
      <c r="G46" s="6">
        <v>5</v>
      </c>
      <c r="H46" s="9">
        <f t="shared" si="1"/>
        <v>1.25</v>
      </c>
      <c r="I46" s="6">
        <v>12</v>
      </c>
      <c r="J46" s="6">
        <v>1</v>
      </c>
      <c r="K46" s="6">
        <v>3</v>
      </c>
    </row>
    <row r="47" spans="1:11" x14ac:dyDescent="0.2">
      <c r="A47" s="5">
        <v>39349</v>
      </c>
      <c r="B47" s="6">
        <v>4</v>
      </c>
      <c r="C47" s="8" t="s">
        <v>35</v>
      </c>
      <c r="D47" s="8">
        <v>9</v>
      </c>
      <c r="E47" s="6" t="s">
        <v>17</v>
      </c>
      <c r="F47" s="6">
        <v>4</v>
      </c>
      <c r="G47" s="6">
        <v>1</v>
      </c>
      <c r="H47" s="9">
        <f t="shared" si="1"/>
        <v>0.25</v>
      </c>
      <c r="I47" s="6">
        <v>4</v>
      </c>
      <c r="J47" s="6">
        <v>1</v>
      </c>
      <c r="K47" s="6">
        <v>5</v>
      </c>
    </row>
    <row r="48" spans="1:11" x14ac:dyDescent="0.2">
      <c r="A48" s="5">
        <v>39354</v>
      </c>
      <c r="B48" s="6">
        <v>5</v>
      </c>
      <c r="C48" s="8" t="s">
        <v>35</v>
      </c>
      <c r="D48" s="8">
        <v>9</v>
      </c>
      <c r="E48" s="6" t="s">
        <v>17</v>
      </c>
      <c r="F48" s="6">
        <v>4</v>
      </c>
      <c r="G48" s="6">
        <v>0</v>
      </c>
      <c r="H48" s="9">
        <f t="shared" si="1"/>
        <v>0</v>
      </c>
      <c r="I48" s="6">
        <v>1</v>
      </c>
      <c r="J48" s="6">
        <v>1</v>
      </c>
      <c r="K48" s="6">
        <v>2</v>
      </c>
    </row>
    <row r="49" spans="1:11" x14ac:dyDescent="0.2">
      <c r="A49" s="5">
        <v>39335</v>
      </c>
      <c r="B49" s="6">
        <v>1</v>
      </c>
      <c r="C49" s="8" t="s">
        <v>36</v>
      </c>
      <c r="D49" s="8">
        <v>10</v>
      </c>
      <c r="E49" s="6" t="s">
        <v>18</v>
      </c>
      <c r="F49" s="6">
        <v>5</v>
      </c>
      <c r="G49" s="6">
        <v>3</v>
      </c>
      <c r="H49" s="9">
        <f t="shared" si="1"/>
        <v>0.6</v>
      </c>
      <c r="I49" s="6">
        <v>4</v>
      </c>
      <c r="J49" s="6">
        <v>0</v>
      </c>
      <c r="K49" s="6">
        <v>0</v>
      </c>
    </row>
    <row r="50" spans="1:11" x14ac:dyDescent="0.2">
      <c r="A50" s="5">
        <v>39342</v>
      </c>
      <c r="B50" s="6">
        <v>2</v>
      </c>
      <c r="C50" s="8" t="s">
        <v>36</v>
      </c>
      <c r="D50" s="8">
        <v>10</v>
      </c>
      <c r="E50" s="6" t="s">
        <v>18</v>
      </c>
      <c r="F50" s="6">
        <v>5</v>
      </c>
      <c r="G50" s="6">
        <v>5</v>
      </c>
      <c r="H50" s="9">
        <f t="shared" si="1"/>
        <v>1</v>
      </c>
      <c r="I50" s="6">
        <v>2</v>
      </c>
      <c r="J50" s="6">
        <v>0</v>
      </c>
      <c r="K50" s="6">
        <v>0</v>
      </c>
    </row>
    <row r="51" spans="1:11" x14ac:dyDescent="0.2">
      <c r="A51" s="5">
        <v>39357</v>
      </c>
      <c r="B51" s="6">
        <v>3</v>
      </c>
      <c r="C51" s="8" t="s">
        <v>36</v>
      </c>
      <c r="D51" s="8">
        <v>10</v>
      </c>
      <c r="E51" s="6" t="s">
        <v>18</v>
      </c>
      <c r="F51" s="6">
        <v>5</v>
      </c>
      <c r="G51" s="6">
        <v>1</v>
      </c>
      <c r="H51" s="9">
        <f t="shared" si="1"/>
        <v>0.2</v>
      </c>
      <c r="I51" s="6">
        <v>2</v>
      </c>
      <c r="J51" s="6">
        <v>0</v>
      </c>
      <c r="K51" s="6">
        <v>0</v>
      </c>
    </row>
    <row r="52" spans="1:11" x14ac:dyDescent="0.2">
      <c r="A52" s="5">
        <v>39335</v>
      </c>
      <c r="B52" s="6">
        <v>1</v>
      </c>
      <c r="C52" s="8" t="s">
        <v>37</v>
      </c>
      <c r="D52" s="8">
        <v>11</v>
      </c>
      <c r="E52" s="6" t="s">
        <v>19</v>
      </c>
      <c r="F52" s="6">
        <v>4</v>
      </c>
      <c r="G52" s="6">
        <v>0</v>
      </c>
      <c r="H52" s="9">
        <f t="shared" si="1"/>
        <v>0</v>
      </c>
      <c r="I52" s="6">
        <v>0</v>
      </c>
      <c r="J52" s="6">
        <v>0</v>
      </c>
      <c r="K52" s="6">
        <v>0</v>
      </c>
    </row>
    <row r="53" spans="1:11" x14ac:dyDescent="0.2">
      <c r="A53" s="5">
        <v>39342</v>
      </c>
      <c r="B53" s="6">
        <v>2</v>
      </c>
      <c r="C53" s="8" t="s">
        <v>37</v>
      </c>
      <c r="D53" s="8">
        <v>11</v>
      </c>
      <c r="E53" s="6" t="s">
        <v>19</v>
      </c>
      <c r="F53" s="6">
        <v>4</v>
      </c>
      <c r="G53" s="6">
        <v>1</v>
      </c>
      <c r="H53" s="9">
        <f t="shared" si="1"/>
        <v>0.25</v>
      </c>
      <c r="I53" s="6">
        <v>0</v>
      </c>
      <c r="J53" s="6">
        <v>0</v>
      </c>
      <c r="K53" s="6">
        <v>0</v>
      </c>
    </row>
    <row r="54" spans="1:11" x14ac:dyDescent="0.2">
      <c r="A54" s="5">
        <v>39357</v>
      </c>
      <c r="B54" s="6">
        <v>3</v>
      </c>
      <c r="C54" s="8" t="s">
        <v>37</v>
      </c>
      <c r="D54" s="8">
        <v>11</v>
      </c>
      <c r="E54" s="6" t="s">
        <v>19</v>
      </c>
      <c r="F54" s="6">
        <v>4</v>
      </c>
      <c r="G54" s="6">
        <v>0</v>
      </c>
      <c r="H54" s="9">
        <f t="shared" si="1"/>
        <v>0</v>
      </c>
      <c r="I54" s="6">
        <v>0</v>
      </c>
      <c r="J54" s="6">
        <v>0</v>
      </c>
      <c r="K54" s="6">
        <v>0</v>
      </c>
    </row>
    <row r="55" spans="1:11" x14ac:dyDescent="0.2">
      <c r="A55" s="5">
        <v>39335</v>
      </c>
      <c r="B55" s="6">
        <v>1</v>
      </c>
      <c r="C55" s="8" t="s">
        <v>38</v>
      </c>
      <c r="D55" s="8">
        <v>12</v>
      </c>
      <c r="E55" s="6" t="s">
        <v>20</v>
      </c>
      <c r="F55" s="6">
        <v>3</v>
      </c>
      <c r="G55" s="6">
        <v>0</v>
      </c>
      <c r="H55" s="9">
        <f t="shared" si="1"/>
        <v>0</v>
      </c>
      <c r="I55" s="6">
        <v>0</v>
      </c>
      <c r="J55" s="6">
        <v>0</v>
      </c>
      <c r="K55" s="6">
        <v>0</v>
      </c>
    </row>
    <row r="56" spans="1:11" x14ac:dyDescent="0.2">
      <c r="A56" s="5">
        <v>39342</v>
      </c>
      <c r="B56" s="6">
        <v>2</v>
      </c>
      <c r="C56" s="8" t="s">
        <v>38</v>
      </c>
      <c r="D56" s="8">
        <v>12</v>
      </c>
      <c r="E56" s="6" t="s">
        <v>20</v>
      </c>
      <c r="F56" s="6">
        <v>3</v>
      </c>
      <c r="G56" s="6">
        <v>0</v>
      </c>
      <c r="H56" s="9">
        <f t="shared" si="1"/>
        <v>0</v>
      </c>
      <c r="I56" s="6">
        <v>0</v>
      </c>
      <c r="J56" s="6">
        <v>0</v>
      </c>
      <c r="K56" s="6">
        <v>0</v>
      </c>
    </row>
    <row r="57" spans="1:11" x14ac:dyDescent="0.2">
      <c r="A57" s="5">
        <v>39357</v>
      </c>
      <c r="B57" s="6">
        <v>3</v>
      </c>
      <c r="C57" s="8" t="s">
        <v>38</v>
      </c>
      <c r="D57" s="8">
        <v>12</v>
      </c>
      <c r="E57" s="6" t="s">
        <v>20</v>
      </c>
      <c r="F57" s="6">
        <v>3</v>
      </c>
      <c r="G57" s="6">
        <v>1</v>
      </c>
      <c r="H57" s="9">
        <f t="shared" si="1"/>
        <v>0.33333333333333331</v>
      </c>
      <c r="I57" s="6">
        <v>1</v>
      </c>
      <c r="J57" s="6">
        <v>0</v>
      </c>
      <c r="K57" s="6">
        <v>0</v>
      </c>
    </row>
    <row r="58" spans="1:11" x14ac:dyDescent="0.2">
      <c r="A58" s="5">
        <v>39357</v>
      </c>
      <c r="B58" s="6">
        <v>3</v>
      </c>
      <c r="C58" s="8" t="s">
        <v>124</v>
      </c>
      <c r="D58" s="8">
        <v>13</v>
      </c>
      <c r="E58" s="6" t="s">
        <v>21</v>
      </c>
      <c r="F58" s="6">
        <v>3</v>
      </c>
      <c r="G58" s="6">
        <v>0</v>
      </c>
      <c r="H58" s="9">
        <f t="shared" si="1"/>
        <v>0</v>
      </c>
      <c r="I58" s="6">
        <v>0</v>
      </c>
      <c r="J58" s="6">
        <v>0</v>
      </c>
      <c r="K58" s="6">
        <v>0</v>
      </c>
    </row>
    <row r="59" spans="1:11" ht="13.5" thickBot="1" x14ac:dyDescent="0.25">
      <c r="A59" s="5">
        <v>39357</v>
      </c>
      <c r="B59" s="6">
        <v>3</v>
      </c>
      <c r="C59" s="8" t="s">
        <v>123</v>
      </c>
      <c r="D59" s="8">
        <v>14</v>
      </c>
      <c r="E59" s="6" t="s">
        <v>22</v>
      </c>
      <c r="F59" s="80">
        <v>3</v>
      </c>
      <c r="G59" s="80">
        <v>0</v>
      </c>
      <c r="H59" s="69">
        <f t="shared" si="1"/>
        <v>0</v>
      </c>
      <c r="I59" s="80">
        <v>0</v>
      </c>
      <c r="J59" s="80">
        <v>0</v>
      </c>
      <c r="K59" s="80">
        <v>0</v>
      </c>
    </row>
    <row r="60" spans="1:11" x14ac:dyDescent="0.2">
      <c r="F60" s="3">
        <f>SUM(F4:F59)</f>
        <v>199</v>
      </c>
      <c r="G60" s="3">
        <f>SUM(G4:G59)</f>
        <v>118</v>
      </c>
      <c r="H60" s="64">
        <f t="shared" ref="H60" si="2">G60/F60</f>
        <v>0.59296482412060303</v>
      </c>
      <c r="I60" s="3">
        <f t="shared" ref="I60:K60" si="3">SUM(I4:I59)</f>
        <v>170</v>
      </c>
      <c r="J60" s="3">
        <f t="shared" si="3"/>
        <v>17</v>
      </c>
      <c r="K60" s="3">
        <f t="shared" si="3"/>
        <v>45</v>
      </c>
    </row>
  </sheetData>
  <sortState xmlns:xlrd2="http://schemas.microsoft.com/office/spreadsheetml/2017/richdata2" ref="A4:K59">
    <sortCondition ref="D4:D59"/>
  </sortState>
  <phoneticPr fontId="0" type="noConversion"/>
  <pageMargins left="0.75" right="0.75" top="1" bottom="1" header="0.5" footer="0.5"/>
  <pageSetup orientation="portrait" r:id="rId1"/>
  <headerFooter alignWithMargins="0"/>
  <ignoredErrors>
    <ignoredError sqref="H60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75"/>
  <sheetViews>
    <sheetView workbookViewId="0">
      <pane xSplit="1" ySplit="3" topLeftCell="B33" activePane="bottomRight" state="frozen"/>
      <selection pane="topRight" activeCell="B1" sqref="B1"/>
      <selection pane="bottomLeft" activeCell="A4" sqref="A4"/>
      <selection pane="bottomRight" activeCell="G67" sqref="G67:G72"/>
    </sheetView>
  </sheetViews>
  <sheetFormatPr defaultRowHeight="12.75" x14ac:dyDescent="0.2"/>
  <cols>
    <col min="5" max="5" width="29.140625" bestFit="1" customWidth="1"/>
  </cols>
  <sheetData>
    <row r="1" spans="1:11" x14ac:dyDescent="0.2">
      <c r="A1" s="2"/>
      <c r="B1" s="2"/>
      <c r="C1" s="2" t="s">
        <v>25</v>
      </c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1" x14ac:dyDescent="0.2">
      <c r="A2" s="2" t="s">
        <v>0</v>
      </c>
      <c r="B2" s="2" t="s">
        <v>1</v>
      </c>
      <c r="C2" s="2" t="s">
        <v>26</v>
      </c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1" ht="13.5" thickBot="1" x14ac:dyDescent="0.25">
      <c r="A3" s="1"/>
      <c r="I3" s="1"/>
      <c r="J3" s="4" t="s">
        <v>6</v>
      </c>
      <c r="K3" s="4" t="s">
        <v>7</v>
      </c>
    </row>
    <row r="4" spans="1:11" x14ac:dyDescent="0.2">
      <c r="A4" s="5">
        <v>39329</v>
      </c>
      <c r="B4" s="6">
        <v>1</v>
      </c>
      <c r="C4" s="8" t="s">
        <v>27</v>
      </c>
      <c r="D4" s="8">
        <v>1</v>
      </c>
      <c r="E4" s="6" t="s">
        <v>9</v>
      </c>
      <c r="F4" s="6">
        <v>6</v>
      </c>
      <c r="G4" s="6">
        <v>2</v>
      </c>
      <c r="H4" s="9">
        <f t="shared" ref="H4:H35" si="0">G4/F4</f>
        <v>0.33333333333333331</v>
      </c>
      <c r="I4" s="6">
        <v>3</v>
      </c>
      <c r="J4" s="6">
        <v>0</v>
      </c>
      <c r="K4" s="6">
        <v>0</v>
      </c>
    </row>
    <row r="5" spans="1:11" x14ac:dyDescent="0.2">
      <c r="A5" s="5">
        <v>39336</v>
      </c>
      <c r="B5" s="6">
        <v>2</v>
      </c>
      <c r="C5" s="8" t="s">
        <v>27</v>
      </c>
      <c r="D5" s="8">
        <v>1</v>
      </c>
      <c r="E5" s="6" t="s">
        <v>9</v>
      </c>
      <c r="F5" s="6">
        <v>6</v>
      </c>
      <c r="G5" s="6">
        <v>1</v>
      </c>
      <c r="H5" s="9">
        <f t="shared" si="0"/>
        <v>0.16666666666666666</v>
      </c>
      <c r="I5" s="6">
        <v>3</v>
      </c>
      <c r="J5" s="6">
        <v>1</v>
      </c>
      <c r="K5" s="6">
        <v>0</v>
      </c>
    </row>
    <row r="6" spans="1:11" x14ac:dyDescent="0.2">
      <c r="A6" s="5">
        <v>39343</v>
      </c>
      <c r="B6" s="6">
        <v>3</v>
      </c>
      <c r="C6" s="8" t="s">
        <v>27</v>
      </c>
      <c r="D6" s="8">
        <v>1</v>
      </c>
      <c r="E6" s="6" t="s">
        <v>9</v>
      </c>
      <c r="F6" s="6">
        <v>6</v>
      </c>
      <c r="G6" s="6">
        <v>0</v>
      </c>
      <c r="H6" s="9">
        <f t="shared" si="0"/>
        <v>0</v>
      </c>
      <c r="I6" s="6">
        <v>0</v>
      </c>
      <c r="J6" s="6">
        <v>2</v>
      </c>
      <c r="K6" s="6">
        <v>0</v>
      </c>
    </row>
    <row r="7" spans="1:11" x14ac:dyDescent="0.2">
      <c r="A7" s="5">
        <v>39316</v>
      </c>
      <c r="B7" s="6">
        <v>1</v>
      </c>
      <c r="C7" s="8" t="s">
        <v>28</v>
      </c>
      <c r="D7" s="8">
        <v>2</v>
      </c>
      <c r="E7" s="6" t="s">
        <v>10</v>
      </c>
      <c r="F7" s="6">
        <v>3</v>
      </c>
      <c r="G7" s="6">
        <v>5</v>
      </c>
      <c r="H7" s="9">
        <f t="shared" si="0"/>
        <v>1.6666666666666667</v>
      </c>
      <c r="I7" s="6">
        <v>5</v>
      </c>
      <c r="J7" s="6">
        <v>0</v>
      </c>
      <c r="K7" s="6">
        <v>0</v>
      </c>
    </row>
    <row r="8" spans="1:11" x14ac:dyDescent="0.2">
      <c r="A8" s="5">
        <v>39323</v>
      </c>
      <c r="B8" s="6">
        <v>2</v>
      </c>
      <c r="C8" s="8" t="s">
        <v>28</v>
      </c>
      <c r="D8" s="8">
        <v>2</v>
      </c>
      <c r="E8" s="6" t="s">
        <v>10</v>
      </c>
      <c r="F8" s="6">
        <v>3</v>
      </c>
      <c r="G8" s="6">
        <v>2</v>
      </c>
      <c r="H8" s="9">
        <f t="shared" si="0"/>
        <v>0.66666666666666663</v>
      </c>
      <c r="I8" s="6">
        <v>8</v>
      </c>
      <c r="J8" s="6">
        <v>0</v>
      </c>
      <c r="K8" s="6">
        <v>0</v>
      </c>
    </row>
    <row r="9" spans="1:11" x14ac:dyDescent="0.2">
      <c r="A9" s="5">
        <v>39329</v>
      </c>
      <c r="B9" s="6">
        <v>3</v>
      </c>
      <c r="C9" s="8" t="s">
        <v>28</v>
      </c>
      <c r="D9" s="8">
        <v>2</v>
      </c>
      <c r="E9" s="6" t="s">
        <v>10</v>
      </c>
      <c r="F9" s="6">
        <v>3</v>
      </c>
      <c r="G9" s="6">
        <v>5</v>
      </c>
      <c r="H9" s="9">
        <f t="shared" si="0"/>
        <v>1.6666666666666667</v>
      </c>
      <c r="I9" s="6">
        <v>14</v>
      </c>
      <c r="J9" s="6">
        <v>0</v>
      </c>
      <c r="K9" s="6">
        <v>1</v>
      </c>
    </row>
    <row r="10" spans="1:11" x14ac:dyDescent="0.2">
      <c r="A10" s="5">
        <v>39336</v>
      </c>
      <c r="B10" s="6">
        <v>4</v>
      </c>
      <c r="C10" s="8" t="s">
        <v>28</v>
      </c>
      <c r="D10" s="8">
        <v>2</v>
      </c>
      <c r="E10" s="6" t="s">
        <v>10</v>
      </c>
      <c r="F10" s="6">
        <v>3</v>
      </c>
      <c r="G10" s="6">
        <v>5</v>
      </c>
      <c r="H10" s="9">
        <f t="shared" si="0"/>
        <v>1.6666666666666667</v>
      </c>
      <c r="I10" s="6">
        <v>10</v>
      </c>
      <c r="J10" s="6">
        <v>1</v>
      </c>
      <c r="K10" s="6">
        <v>1</v>
      </c>
    </row>
    <row r="11" spans="1:11" x14ac:dyDescent="0.2">
      <c r="A11" s="5">
        <v>39343</v>
      </c>
      <c r="B11" s="6">
        <v>5</v>
      </c>
      <c r="C11" s="8" t="s">
        <v>28</v>
      </c>
      <c r="D11" s="8">
        <v>2</v>
      </c>
      <c r="E11" s="6" t="s">
        <v>10</v>
      </c>
      <c r="F11" s="6">
        <v>3</v>
      </c>
      <c r="G11" s="6">
        <v>5</v>
      </c>
      <c r="H11" s="9">
        <f t="shared" si="0"/>
        <v>1.6666666666666667</v>
      </c>
      <c r="I11" s="6">
        <v>7</v>
      </c>
      <c r="J11" s="6">
        <v>2</v>
      </c>
      <c r="K11" s="6">
        <v>0</v>
      </c>
    </row>
    <row r="12" spans="1:11" x14ac:dyDescent="0.2">
      <c r="A12" s="5">
        <v>39350</v>
      </c>
      <c r="B12" s="6">
        <v>6</v>
      </c>
      <c r="C12" s="8" t="s">
        <v>28</v>
      </c>
      <c r="D12" s="8">
        <v>2</v>
      </c>
      <c r="E12" s="6" t="s">
        <v>10</v>
      </c>
      <c r="F12" s="6">
        <v>3</v>
      </c>
      <c r="G12" s="6">
        <v>3</v>
      </c>
      <c r="H12" s="9">
        <f t="shared" si="0"/>
        <v>1</v>
      </c>
      <c r="I12" s="6">
        <v>4</v>
      </c>
      <c r="J12" s="6">
        <v>3</v>
      </c>
      <c r="K12" s="6">
        <v>0</v>
      </c>
    </row>
    <row r="13" spans="1:11" x14ac:dyDescent="0.2">
      <c r="A13" s="5">
        <v>39357</v>
      </c>
      <c r="B13" s="6">
        <v>7</v>
      </c>
      <c r="C13" s="8" t="s">
        <v>28</v>
      </c>
      <c r="D13" s="8">
        <v>2</v>
      </c>
      <c r="E13" s="6" t="s">
        <v>10</v>
      </c>
      <c r="F13" s="6">
        <v>3</v>
      </c>
      <c r="G13" s="6">
        <v>1</v>
      </c>
      <c r="H13" s="9">
        <f t="shared" si="0"/>
        <v>0.33333333333333331</v>
      </c>
      <c r="I13" s="6">
        <v>1</v>
      </c>
      <c r="J13" s="6">
        <v>0</v>
      </c>
      <c r="K13" s="6">
        <v>0</v>
      </c>
    </row>
    <row r="14" spans="1:11" x14ac:dyDescent="0.2">
      <c r="A14" s="5">
        <v>39316</v>
      </c>
      <c r="B14" s="6">
        <v>1</v>
      </c>
      <c r="C14" s="8" t="s">
        <v>29</v>
      </c>
      <c r="D14" s="8">
        <v>3</v>
      </c>
      <c r="E14" s="6" t="s">
        <v>11</v>
      </c>
      <c r="F14" s="6">
        <v>2</v>
      </c>
      <c r="G14" s="6">
        <v>1</v>
      </c>
      <c r="H14" s="9">
        <f t="shared" si="0"/>
        <v>0.5</v>
      </c>
      <c r="I14" s="6">
        <v>0</v>
      </c>
      <c r="J14" s="6">
        <v>0</v>
      </c>
      <c r="K14" s="6">
        <v>0</v>
      </c>
    </row>
    <row r="15" spans="1:11" x14ac:dyDescent="0.2">
      <c r="A15" s="5">
        <v>39323</v>
      </c>
      <c r="B15" s="6">
        <v>2</v>
      </c>
      <c r="C15" s="8" t="s">
        <v>29</v>
      </c>
      <c r="D15" s="8">
        <v>3</v>
      </c>
      <c r="E15" s="6" t="s">
        <v>11</v>
      </c>
      <c r="F15" s="6">
        <v>2</v>
      </c>
      <c r="G15" s="6">
        <v>6</v>
      </c>
      <c r="H15" s="9">
        <f t="shared" si="0"/>
        <v>3</v>
      </c>
      <c r="I15" s="6">
        <v>11</v>
      </c>
      <c r="J15" s="6">
        <v>0</v>
      </c>
      <c r="K15" s="6">
        <v>0</v>
      </c>
    </row>
    <row r="16" spans="1:11" x14ac:dyDescent="0.2">
      <c r="A16" s="5">
        <v>39329</v>
      </c>
      <c r="B16" s="6">
        <v>3</v>
      </c>
      <c r="C16" s="8" t="s">
        <v>29</v>
      </c>
      <c r="D16" s="8">
        <v>3</v>
      </c>
      <c r="E16" s="6" t="s">
        <v>11</v>
      </c>
      <c r="F16" s="6">
        <v>2</v>
      </c>
      <c r="G16" s="6">
        <v>4</v>
      </c>
      <c r="H16" s="9">
        <f t="shared" si="0"/>
        <v>2</v>
      </c>
      <c r="I16" s="6">
        <v>8</v>
      </c>
      <c r="J16" s="6">
        <v>1</v>
      </c>
      <c r="K16" s="6">
        <v>0</v>
      </c>
    </row>
    <row r="17" spans="1:11" x14ac:dyDescent="0.2">
      <c r="A17" s="5">
        <v>39336</v>
      </c>
      <c r="B17" s="6">
        <v>4</v>
      </c>
      <c r="C17" s="8" t="s">
        <v>29</v>
      </c>
      <c r="D17" s="8">
        <v>3</v>
      </c>
      <c r="E17" s="6" t="s">
        <v>11</v>
      </c>
      <c r="F17" s="6">
        <v>2</v>
      </c>
      <c r="G17" s="6">
        <v>5</v>
      </c>
      <c r="H17" s="9">
        <f t="shared" si="0"/>
        <v>2.5</v>
      </c>
      <c r="I17" s="6">
        <v>7</v>
      </c>
      <c r="J17" s="6">
        <v>7</v>
      </c>
      <c r="K17" s="6">
        <v>2</v>
      </c>
    </row>
    <row r="18" spans="1:11" x14ac:dyDescent="0.2">
      <c r="A18" s="5">
        <v>39343</v>
      </c>
      <c r="B18" s="6">
        <v>5</v>
      </c>
      <c r="C18" s="8" t="s">
        <v>29</v>
      </c>
      <c r="D18" s="8">
        <v>3</v>
      </c>
      <c r="E18" s="6" t="s">
        <v>11</v>
      </c>
      <c r="F18" s="6">
        <v>2</v>
      </c>
      <c r="G18" s="6">
        <v>10</v>
      </c>
      <c r="H18" s="9">
        <f t="shared" si="0"/>
        <v>5</v>
      </c>
      <c r="I18" s="6">
        <v>4</v>
      </c>
      <c r="J18" s="6">
        <v>6</v>
      </c>
      <c r="K18" s="6">
        <v>4</v>
      </c>
    </row>
    <row r="19" spans="1:11" x14ac:dyDescent="0.2">
      <c r="A19" s="5">
        <v>39350</v>
      </c>
      <c r="B19" s="6">
        <v>6</v>
      </c>
      <c r="C19" s="8" t="s">
        <v>29</v>
      </c>
      <c r="D19" s="8">
        <v>3</v>
      </c>
      <c r="E19" s="6" t="s">
        <v>11</v>
      </c>
      <c r="F19" s="6">
        <v>2</v>
      </c>
      <c r="G19" s="6">
        <v>5</v>
      </c>
      <c r="H19" s="9">
        <f t="shared" si="0"/>
        <v>2.5</v>
      </c>
      <c r="I19" s="6">
        <v>1</v>
      </c>
      <c r="J19" s="6">
        <v>4</v>
      </c>
      <c r="K19" s="6">
        <v>1</v>
      </c>
    </row>
    <row r="20" spans="1:11" x14ac:dyDescent="0.2">
      <c r="A20" s="5">
        <v>39357</v>
      </c>
      <c r="B20" s="6">
        <v>7</v>
      </c>
      <c r="C20" s="8" t="s">
        <v>29</v>
      </c>
      <c r="D20" s="8">
        <v>3</v>
      </c>
      <c r="E20" s="6" t="s">
        <v>11</v>
      </c>
      <c r="F20" s="6">
        <v>2</v>
      </c>
      <c r="G20" s="6">
        <v>2</v>
      </c>
      <c r="H20" s="9">
        <f t="shared" si="0"/>
        <v>1</v>
      </c>
      <c r="I20" s="6">
        <v>0</v>
      </c>
      <c r="J20" s="6">
        <v>0</v>
      </c>
      <c r="K20" s="6">
        <v>1</v>
      </c>
    </row>
    <row r="21" spans="1:11" x14ac:dyDescent="0.2">
      <c r="A21" s="5">
        <v>39316</v>
      </c>
      <c r="B21" s="6">
        <v>1</v>
      </c>
      <c r="C21" s="8" t="s">
        <v>30</v>
      </c>
      <c r="D21" s="8">
        <v>4</v>
      </c>
      <c r="E21" s="6" t="s">
        <v>12</v>
      </c>
      <c r="F21" s="6">
        <v>5</v>
      </c>
      <c r="G21" s="6">
        <v>2</v>
      </c>
      <c r="H21" s="9">
        <f t="shared" si="0"/>
        <v>0.4</v>
      </c>
      <c r="I21" s="6">
        <v>7</v>
      </c>
      <c r="J21" s="6">
        <v>0</v>
      </c>
      <c r="K21" s="6">
        <v>0</v>
      </c>
    </row>
    <row r="22" spans="1:11" x14ac:dyDescent="0.2">
      <c r="A22" s="5">
        <v>39323</v>
      </c>
      <c r="B22" s="6">
        <v>2</v>
      </c>
      <c r="C22" s="8" t="s">
        <v>30</v>
      </c>
      <c r="D22" s="8">
        <v>4</v>
      </c>
      <c r="E22" s="6" t="s">
        <v>12</v>
      </c>
      <c r="F22" s="6">
        <v>5</v>
      </c>
      <c r="G22" s="6">
        <v>5</v>
      </c>
      <c r="H22" s="9">
        <f t="shared" si="0"/>
        <v>1</v>
      </c>
      <c r="I22" s="6">
        <v>17</v>
      </c>
      <c r="J22" s="6">
        <v>1</v>
      </c>
      <c r="K22" s="6">
        <v>1</v>
      </c>
    </row>
    <row r="23" spans="1:11" x14ac:dyDescent="0.2">
      <c r="A23" s="5">
        <v>39329</v>
      </c>
      <c r="B23" s="6">
        <v>3</v>
      </c>
      <c r="C23" s="8" t="s">
        <v>30</v>
      </c>
      <c r="D23" s="8">
        <v>4</v>
      </c>
      <c r="E23" s="6" t="s">
        <v>12</v>
      </c>
      <c r="F23" s="6">
        <v>5</v>
      </c>
      <c r="G23" s="6">
        <v>11</v>
      </c>
      <c r="H23" s="9">
        <f t="shared" si="0"/>
        <v>2.2000000000000002</v>
      </c>
      <c r="I23" s="6">
        <v>21</v>
      </c>
      <c r="J23" s="6">
        <v>2</v>
      </c>
      <c r="K23" s="6">
        <v>1</v>
      </c>
    </row>
    <row r="24" spans="1:11" x14ac:dyDescent="0.2">
      <c r="A24" s="5">
        <v>39336</v>
      </c>
      <c r="B24" s="6">
        <v>4</v>
      </c>
      <c r="C24" s="8" t="s">
        <v>30</v>
      </c>
      <c r="D24" s="8">
        <v>4</v>
      </c>
      <c r="E24" s="6" t="s">
        <v>12</v>
      </c>
      <c r="F24" s="6">
        <v>5</v>
      </c>
      <c r="G24" s="6">
        <v>14</v>
      </c>
      <c r="H24" s="9">
        <f t="shared" si="0"/>
        <v>2.8</v>
      </c>
      <c r="I24" s="6">
        <v>11</v>
      </c>
      <c r="J24" s="6">
        <v>8</v>
      </c>
      <c r="K24" s="6">
        <v>1</v>
      </c>
    </row>
    <row r="25" spans="1:11" x14ac:dyDescent="0.2">
      <c r="A25" s="5">
        <v>39343</v>
      </c>
      <c r="B25" s="6">
        <v>5</v>
      </c>
      <c r="C25" s="8" t="s">
        <v>30</v>
      </c>
      <c r="D25" s="8">
        <v>4</v>
      </c>
      <c r="E25" s="6" t="s">
        <v>12</v>
      </c>
      <c r="F25" s="6">
        <v>5</v>
      </c>
      <c r="G25" s="6">
        <v>23</v>
      </c>
      <c r="H25" s="9">
        <f t="shared" si="0"/>
        <v>4.5999999999999996</v>
      </c>
      <c r="I25" s="6">
        <v>13</v>
      </c>
      <c r="J25" s="6">
        <v>14</v>
      </c>
      <c r="K25" s="6">
        <v>1</v>
      </c>
    </row>
    <row r="26" spans="1:11" x14ac:dyDescent="0.2">
      <c r="A26" s="5">
        <v>39350</v>
      </c>
      <c r="B26" s="6">
        <v>6</v>
      </c>
      <c r="C26" s="8" t="s">
        <v>30</v>
      </c>
      <c r="D26" s="8">
        <v>4</v>
      </c>
      <c r="E26" s="6" t="s">
        <v>12</v>
      </c>
      <c r="F26" s="6">
        <v>5</v>
      </c>
      <c r="G26" s="6">
        <v>4</v>
      </c>
      <c r="H26" s="9">
        <f t="shared" si="0"/>
        <v>0.8</v>
      </c>
      <c r="I26" s="6">
        <v>1</v>
      </c>
      <c r="J26" s="6">
        <v>10</v>
      </c>
      <c r="K26" s="6">
        <v>2</v>
      </c>
    </row>
    <row r="27" spans="1:11" x14ac:dyDescent="0.2">
      <c r="A27" s="5">
        <v>39357</v>
      </c>
      <c r="B27" s="6">
        <v>7</v>
      </c>
      <c r="C27" s="8" t="s">
        <v>30</v>
      </c>
      <c r="D27" s="8">
        <v>4</v>
      </c>
      <c r="E27" s="6" t="s">
        <v>12</v>
      </c>
      <c r="F27" s="6">
        <v>5</v>
      </c>
      <c r="G27" s="6">
        <v>2</v>
      </c>
      <c r="H27" s="9">
        <f t="shared" si="0"/>
        <v>0.4</v>
      </c>
      <c r="I27" s="6">
        <v>2</v>
      </c>
      <c r="J27" s="6">
        <v>4</v>
      </c>
      <c r="K27" s="6">
        <v>1</v>
      </c>
    </row>
    <row r="28" spans="1:11" x14ac:dyDescent="0.2">
      <c r="A28" s="5">
        <v>39323</v>
      </c>
      <c r="B28" s="6">
        <v>1</v>
      </c>
      <c r="C28" s="8" t="s">
        <v>31</v>
      </c>
      <c r="D28" s="8">
        <v>5</v>
      </c>
      <c r="E28" s="6" t="s">
        <v>13</v>
      </c>
      <c r="F28" s="6">
        <v>2</v>
      </c>
      <c r="G28" s="6">
        <v>2</v>
      </c>
      <c r="H28" s="9">
        <f t="shared" si="0"/>
        <v>1</v>
      </c>
      <c r="I28" s="6">
        <v>3</v>
      </c>
      <c r="J28" s="6">
        <v>1</v>
      </c>
      <c r="K28" s="6">
        <v>1</v>
      </c>
    </row>
    <row r="29" spans="1:11" x14ac:dyDescent="0.2">
      <c r="A29" s="5">
        <v>39329</v>
      </c>
      <c r="B29" s="6">
        <v>2</v>
      </c>
      <c r="C29" s="8" t="s">
        <v>31</v>
      </c>
      <c r="D29" s="8">
        <v>5</v>
      </c>
      <c r="E29" s="6" t="s">
        <v>13</v>
      </c>
      <c r="F29" s="6">
        <v>2</v>
      </c>
      <c r="G29" s="6">
        <v>9</v>
      </c>
      <c r="H29" s="9">
        <f t="shared" si="0"/>
        <v>4.5</v>
      </c>
      <c r="I29" s="6">
        <v>14</v>
      </c>
      <c r="J29" s="6">
        <v>1</v>
      </c>
      <c r="K29" s="6">
        <v>0</v>
      </c>
    </row>
    <row r="30" spans="1:11" x14ac:dyDescent="0.2">
      <c r="A30" s="5">
        <v>39336</v>
      </c>
      <c r="B30" s="6">
        <v>3</v>
      </c>
      <c r="C30" s="8" t="s">
        <v>31</v>
      </c>
      <c r="D30" s="8">
        <v>5</v>
      </c>
      <c r="E30" s="6" t="s">
        <v>13</v>
      </c>
      <c r="F30" s="6">
        <v>2</v>
      </c>
      <c r="G30" s="6">
        <v>11</v>
      </c>
      <c r="H30" s="9">
        <f t="shared" si="0"/>
        <v>5.5</v>
      </c>
      <c r="I30" s="6">
        <v>13</v>
      </c>
      <c r="J30" s="6">
        <v>3</v>
      </c>
      <c r="K30" s="6">
        <v>0</v>
      </c>
    </row>
    <row r="31" spans="1:11" x14ac:dyDescent="0.2">
      <c r="A31" s="5">
        <v>39343</v>
      </c>
      <c r="B31" s="6">
        <v>4</v>
      </c>
      <c r="C31" s="8" t="s">
        <v>31</v>
      </c>
      <c r="D31" s="8">
        <v>5</v>
      </c>
      <c r="E31" s="6" t="s">
        <v>13</v>
      </c>
      <c r="F31" s="6">
        <v>2</v>
      </c>
      <c r="G31" s="6">
        <v>0</v>
      </c>
      <c r="H31" s="9">
        <f t="shared" si="0"/>
        <v>0</v>
      </c>
      <c r="I31" s="6">
        <v>0</v>
      </c>
      <c r="J31" s="6">
        <v>2</v>
      </c>
      <c r="K31" s="6">
        <v>1</v>
      </c>
    </row>
    <row r="32" spans="1:11" x14ac:dyDescent="0.2">
      <c r="A32" s="5">
        <v>39350</v>
      </c>
      <c r="B32" s="6">
        <v>5</v>
      </c>
      <c r="C32" s="8" t="s">
        <v>31</v>
      </c>
      <c r="D32" s="8">
        <v>5</v>
      </c>
      <c r="E32" s="6" t="s">
        <v>13</v>
      </c>
      <c r="F32" s="6">
        <v>2</v>
      </c>
      <c r="G32" s="6">
        <v>1</v>
      </c>
      <c r="H32" s="9">
        <f t="shared" si="0"/>
        <v>0.5</v>
      </c>
      <c r="I32" s="6">
        <v>0</v>
      </c>
      <c r="J32" s="6">
        <v>0</v>
      </c>
      <c r="K32" s="6">
        <v>0</v>
      </c>
    </row>
    <row r="33" spans="1:11" x14ac:dyDescent="0.2">
      <c r="A33" s="5">
        <v>39323</v>
      </c>
      <c r="B33" s="6">
        <v>1</v>
      </c>
      <c r="C33" s="8" t="s">
        <v>32</v>
      </c>
      <c r="D33" s="8">
        <v>6</v>
      </c>
      <c r="E33" s="6" t="s">
        <v>14</v>
      </c>
      <c r="F33" s="6">
        <v>4</v>
      </c>
      <c r="G33" s="6">
        <v>11</v>
      </c>
      <c r="H33" s="9">
        <f t="shared" si="0"/>
        <v>2.75</v>
      </c>
      <c r="I33" s="6">
        <v>11</v>
      </c>
      <c r="J33" s="6">
        <v>0</v>
      </c>
      <c r="K33" s="6">
        <v>0</v>
      </c>
    </row>
    <row r="34" spans="1:11" x14ac:dyDescent="0.2">
      <c r="A34" s="5">
        <v>39329</v>
      </c>
      <c r="B34" s="6">
        <v>2</v>
      </c>
      <c r="C34" s="8" t="s">
        <v>32</v>
      </c>
      <c r="D34" s="8">
        <v>6</v>
      </c>
      <c r="E34" s="6" t="s">
        <v>14</v>
      </c>
      <c r="F34" s="6">
        <v>4</v>
      </c>
      <c r="G34" s="6">
        <v>10</v>
      </c>
      <c r="H34" s="9">
        <f t="shared" si="0"/>
        <v>2.5</v>
      </c>
      <c r="I34" s="6">
        <v>11</v>
      </c>
      <c r="J34" s="6">
        <v>3</v>
      </c>
      <c r="K34" s="6">
        <v>2</v>
      </c>
    </row>
    <row r="35" spans="1:11" x14ac:dyDescent="0.2">
      <c r="A35" s="5">
        <v>39336</v>
      </c>
      <c r="B35" s="6">
        <v>3</v>
      </c>
      <c r="C35" s="8" t="s">
        <v>32</v>
      </c>
      <c r="D35" s="8">
        <v>6</v>
      </c>
      <c r="E35" s="6" t="s">
        <v>14</v>
      </c>
      <c r="F35" s="6">
        <v>4</v>
      </c>
      <c r="G35" s="6">
        <v>14</v>
      </c>
      <c r="H35" s="9">
        <f t="shared" si="0"/>
        <v>3.5</v>
      </c>
      <c r="I35" s="6">
        <v>22</v>
      </c>
      <c r="J35" s="6">
        <v>4</v>
      </c>
      <c r="K35" s="6">
        <v>4</v>
      </c>
    </row>
    <row r="36" spans="1:11" x14ac:dyDescent="0.2">
      <c r="A36" s="5">
        <v>39343</v>
      </c>
      <c r="B36" s="6">
        <v>4</v>
      </c>
      <c r="C36" s="8" t="s">
        <v>32</v>
      </c>
      <c r="D36" s="8">
        <v>6</v>
      </c>
      <c r="E36" s="6" t="s">
        <v>14</v>
      </c>
      <c r="F36" s="6">
        <v>4</v>
      </c>
      <c r="G36" s="6">
        <v>6</v>
      </c>
      <c r="H36" s="9">
        <f t="shared" ref="H36:H67" si="1">G36/F36</f>
        <v>1.5</v>
      </c>
      <c r="I36" s="6">
        <v>11</v>
      </c>
      <c r="J36" s="6">
        <v>6</v>
      </c>
      <c r="K36" s="6">
        <v>6</v>
      </c>
    </row>
    <row r="37" spans="1:11" x14ac:dyDescent="0.2">
      <c r="A37" s="5">
        <v>39350</v>
      </c>
      <c r="B37" s="6">
        <v>5</v>
      </c>
      <c r="C37" s="8" t="s">
        <v>32</v>
      </c>
      <c r="D37" s="8">
        <v>6</v>
      </c>
      <c r="E37" s="6" t="s">
        <v>14</v>
      </c>
      <c r="F37" s="6">
        <v>4</v>
      </c>
      <c r="G37" s="6">
        <v>1</v>
      </c>
      <c r="H37" s="9">
        <f t="shared" si="1"/>
        <v>0.25</v>
      </c>
      <c r="I37" s="6">
        <v>0</v>
      </c>
      <c r="J37" s="6">
        <v>2</v>
      </c>
      <c r="K37" s="6">
        <v>0</v>
      </c>
    </row>
    <row r="38" spans="1:11" x14ac:dyDescent="0.2">
      <c r="A38" s="5">
        <v>39323</v>
      </c>
      <c r="B38" s="6">
        <v>1</v>
      </c>
      <c r="C38" s="8" t="s">
        <v>33</v>
      </c>
      <c r="D38" s="8">
        <v>7</v>
      </c>
      <c r="E38" s="6" t="s">
        <v>15</v>
      </c>
      <c r="F38" s="6">
        <v>3</v>
      </c>
      <c r="G38" s="6">
        <v>2</v>
      </c>
      <c r="H38" s="9">
        <f t="shared" si="1"/>
        <v>0.66666666666666663</v>
      </c>
      <c r="I38" s="6">
        <v>3</v>
      </c>
      <c r="J38" s="6">
        <v>0</v>
      </c>
      <c r="K38" s="6">
        <v>1</v>
      </c>
    </row>
    <row r="39" spans="1:11" x14ac:dyDescent="0.2">
      <c r="A39" s="5">
        <v>39329</v>
      </c>
      <c r="B39" s="6">
        <v>2</v>
      </c>
      <c r="C39" s="8" t="s">
        <v>33</v>
      </c>
      <c r="D39" s="8">
        <v>7</v>
      </c>
      <c r="E39" s="6" t="s">
        <v>15</v>
      </c>
      <c r="F39" s="6">
        <v>3</v>
      </c>
      <c r="G39" s="6">
        <v>1</v>
      </c>
      <c r="H39" s="9">
        <f t="shared" si="1"/>
        <v>0.33333333333333331</v>
      </c>
      <c r="I39" s="6">
        <v>1</v>
      </c>
      <c r="J39" s="6">
        <v>4</v>
      </c>
      <c r="K39" s="6">
        <v>1</v>
      </c>
    </row>
    <row r="40" spans="1:11" x14ac:dyDescent="0.2">
      <c r="A40" s="5">
        <v>39336</v>
      </c>
      <c r="B40" s="6">
        <v>3</v>
      </c>
      <c r="C40" s="8" t="s">
        <v>33</v>
      </c>
      <c r="D40" s="8">
        <v>7</v>
      </c>
      <c r="E40" s="6" t="s">
        <v>15</v>
      </c>
      <c r="F40" s="6">
        <v>3</v>
      </c>
      <c r="G40" s="6">
        <v>3</v>
      </c>
      <c r="H40" s="9">
        <f t="shared" si="1"/>
        <v>1</v>
      </c>
      <c r="I40" s="6">
        <v>8</v>
      </c>
      <c r="J40" s="6">
        <v>6</v>
      </c>
      <c r="K40" s="6">
        <v>0</v>
      </c>
    </row>
    <row r="41" spans="1:11" x14ac:dyDescent="0.2">
      <c r="A41" s="5">
        <v>39343</v>
      </c>
      <c r="B41" s="6">
        <v>4</v>
      </c>
      <c r="C41" s="8" t="s">
        <v>33</v>
      </c>
      <c r="D41" s="8">
        <v>7</v>
      </c>
      <c r="E41" s="6" t="s">
        <v>15</v>
      </c>
      <c r="F41" s="6">
        <v>3</v>
      </c>
      <c r="G41" s="6">
        <v>6</v>
      </c>
      <c r="H41" s="9">
        <f t="shared" si="1"/>
        <v>2</v>
      </c>
      <c r="I41" s="6">
        <v>3</v>
      </c>
      <c r="J41" s="6">
        <v>2</v>
      </c>
      <c r="K41" s="6">
        <v>4</v>
      </c>
    </row>
    <row r="42" spans="1:11" x14ac:dyDescent="0.2">
      <c r="A42" s="5">
        <v>39351</v>
      </c>
      <c r="B42" s="6">
        <v>5</v>
      </c>
      <c r="C42" s="8" t="s">
        <v>33</v>
      </c>
      <c r="D42" s="8">
        <v>7</v>
      </c>
      <c r="E42" s="6" t="s">
        <v>15</v>
      </c>
      <c r="F42" s="6">
        <v>3</v>
      </c>
      <c r="G42" s="6">
        <v>0</v>
      </c>
      <c r="H42" s="9">
        <f t="shared" si="1"/>
        <v>0</v>
      </c>
      <c r="I42" s="6">
        <v>0</v>
      </c>
      <c r="J42" s="6">
        <v>1</v>
      </c>
      <c r="K42" s="6">
        <v>1</v>
      </c>
    </row>
    <row r="43" spans="1:11" x14ac:dyDescent="0.2">
      <c r="A43" s="5">
        <v>39323</v>
      </c>
      <c r="B43" s="6">
        <v>1</v>
      </c>
      <c r="C43" s="8" t="s">
        <v>34</v>
      </c>
      <c r="D43" s="8">
        <v>8</v>
      </c>
      <c r="E43" s="6" t="s">
        <v>16</v>
      </c>
      <c r="F43" s="6">
        <v>3</v>
      </c>
      <c r="G43" s="6">
        <v>2</v>
      </c>
      <c r="H43" s="9">
        <f t="shared" si="1"/>
        <v>0.66666666666666663</v>
      </c>
      <c r="I43" s="6">
        <v>1</v>
      </c>
      <c r="J43" s="6">
        <v>0</v>
      </c>
      <c r="K43" s="6">
        <v>1</v>
      </c>
    </row>
    <row r="44" spans="1:11" x14ac:dyDescent="0.2">
      <c r="A44" s="5">
        <v>39329</v>
      </c>
      <c r="B44" s="6">
        <v>2</v>
      </c>
      <c r="C44" s="8" t="s">
        <v>34</v>
      </c>
      <c r="D44" s="8">
        <v>8</v>
      </c>
      <c r="E44" s="6" t="s">
        <v>16</v>
      </c>
      <c r="F44" s="6">
        <v>3</v>
      </c>
      <c r="G44" s="6">
        <v>10</v>
      </c>
      <c r="H44" s="9">
        <f t="shared" si="1"/>
        <v>3.3333333333333335</v>
      </c>
      <c r="I44" s="6">
        <v>16</v>
      </c>
      <c r="J44" s="6">
        <v>1</v>
      </c>
      <c r="K44" s="6">
        <v>2</v>
      </c>
    </row>
    <row r="45" spans="1:11" x14ac:dyDescent="0.2">
      <c r="A45" s="5">
        <v>39336</v>
      </c>
      <c r="B45" s="6">
        <v>3</v>
      </c>
      <c r="C45" s="8" t="s">
        <v>34</v>
      </c>
      <c r="D45" s="8">
        <v>8</v>
      </c>
      <c r="E45" s="6" t="s">
        <v>16</v>
      </c>
      <c r="F45" s="6">
        <v>3</v>
      </c>
      <c r="G45" s="6">
        <v>20</v>
      </c>
      <c r="H45" s="9">
        <f t="shared" si="1"/>
        <v>6.666666666666667</v>
      </c>
      <c r="I45" s="6">
        <v>30</v>
      </c>
      <c r="J45" s="6">
        <v>3</v>
      </c>
      <c r="K45" s="6">
        <v>5</v>
      </c>
    </row>
    <row r="46" spans="1:11" x14ac:dyDescent="0.2">
      <c r="A46" s="5">
        <v>39343</v>
      </c>
      <c r="B46" s="6">
        <v>4</v>
      </c>
      <c r="C46" s="8" t="s">
        <v>34</v>
      </c>
      <c r="D46" s="8">
        <v>8</v>
      </c>
      <c r="E46" s="6" t="s">
        <v>16</v>
      </c>
      <c r="F46" s="6">
        <v>3</v>
      </c>
      <c r="G46" s="6">
        <v>11</v>
      </c>
      <c r="H46" s="9">
        <f t="shared" si="1"/>
        <v>3.6666666666666665</v>
      </c>
      <c r="I46" s="6">
        <v>12</v>
      </c>
      <c r="J46" s="6">
        <v>8</v>
      </c>
      <c r="K46" s="6">
        <v>17</v>
      </c>
    </row>
    <row r="47" spans="1:11" x14ac:dyDescent="0.2">
      <c r="A47" s="5">
        <v>39351</v>
      </c>
      <c r="B47" s="6">
        <v>5</v>
      </c>
      <c r="C47" s="8" t="s">
        <v>34</v>
      </c>
      <c r="D47" s="8">
        <v>8</v>
      </c>
      <c r="E47" s="6" t="s">
        <v>16</v>
      </c>
      <c r="F47" s="6">
        <v>3</v>
      </c>
      <c r="G47" s="6">
        <v>0</v>
      </c>
      <c r="H47" s="9">
        <f t="shared" si="1"/>
        <v>0</v>
      </c>
      <c r="I47" s="6">
        <v>0</v>
      </c>
      <c r="J47" s="6">
        <v>2</v>
      </c>
      <c r="K47" s="6">
        <v>4</v>
      </c>
    </row>
    <row r="48" spans="1:11" x14ac:dyDescent="0.2">
      <c r="A48" s="5">
        <v>39323</v>
      </c>
      <c r="B48" s="6">
        <v>1</v>
      </c>
      <c r="C48" s="8" t="s">
        <v>35</v>
      </c>
      <c r="D48" s="8">
        <v>9</v>
      </c>
      <c r="E48" s="6" t="s">
        <v>17</v>
      </c>
      <c r="F48" s="6">
        <v>4</v>
      </c>
      <c r="G48" s="6">
        <v>2</v>
      </c>
      <c r="H48" s="9">
        <f t="shared" si="1"/>
        <v>0.5</v>
      </c>
      <c r="I48" s="6">
        <v>15</v>
      </c>
      <c r="J48" s="6">
        <v>0</v>
      </c>
      <c r="K48" s="6">
        <v>0</v>
      </c>
    </row>
    <row r="49" spans="1:11" x14ac:dyDescent="0.2">
      <c r="A49" s="5">
        <v>39329</v>
      </c>
      <c r="B49" s="6">
        <v>2</v>
      </c>
      <c r="C49" s="8" t="s">
        <v>35</v>
      </c>
      <c r="D49" s="8">
        <v>9</v>
      </c>
      <c r="E49" s="6" t="s">
        <v>17</v>
      </c>
      <c r="F49" s="6">
        <v>4</v>
      </c>
      <c r="G49" s="6">
        <v>2</v>
      </c>
      <c r="H49" s="9">
        <f t="shared" si="1"/>
        <v>0.5</v>
      </c>
      <c r="I49" s="6">
        <v>4</v>
      </c>
      <c r="J49" s="6">
        <v>0</v>
      </c>
      <c r="K49" s="6">
        <v>0</v>
      </c>
    </row>
    <row r="50" spans="1:11" x14ac:dyDescent="0.2">
      <c r="A50" s="5">
        <v>39336</v>
      </c>
      <c r="B50" s="6">
        <v>3</v>
      </c>
      <c r="C50" s="8" t="s">
        <v>35</v>
      </c>
      <c r="D50" s="8">
        <v>9</v>
      </c>
      <c r="E50" s="6" t="s">
        <v>17</v>
      </c>
      <c r="F50" s="6">
        <v>4</v>
      </c>
      <c r="G50" s="6">
        <v>9</v>
      </c>
      <c r="H50" s="9">
        <f t="shared" si="1"/>
        <v>2.25</v>
      </c>
      <c r="I50" s="6">
        <v>8</v>
      </c>
      <c r="J50" s="6">
        <v>0</v>
      </c>
      <c r="K50" s="6">
        <v>1</v>
      </c>
    </row>
    <row r="51" spans="1:11" x14ac:dyDescent="0.2">
      <c r="A51" s="5">
        <v>39343</v>
      </c>
      <c r="B51" s="6">
        <v>4</v>
      </c>
      <c r="C51" s="8" t="s">
        <v>35</v>
      </c>
      <c r="D51" s="8">
        <v>9</v>
      </c>
      <c r="E51" s="6" t="s">
        <v>17</v>
      </c>
      <c r="F51" s="6">
        <v>4</v>
      </c>
      <c r="G51" s="6">
        <v>10</v>
      </c>
      <c r="H51" s="9">
        <f t="shared" si="1"/>
        <v>2.5</v>
      </c>
      <c r="I51" s="6">
        <v>6</v>
      </c>
      <c r="J51" s="6">
        <v>3</v>
      </c>
      <c r="K51" s="6">
        <v>7</v>
      </c>
    </row>
    <row r="52" spans="1:11" x14ac:dyDescent="0.2">
      <c r="A52" s="5">
        <v>39350</v>
      </c>
      <c r="B52" s="6">
        <v>5</v>
      </c>
      <c r="C52" s="8" t="s">
        <v>35</v>
      </c>
      <c r="D52" s="8">
        <v>9</v>
      </c>
      <c r="E52" s="6" t="s">
        <v>17</v>
      </c>
      <c r="F52" s="6">
        <v>4</v>
      </c>
      <c r="G52" s="6">
        <v>1</v>
      </c>
      <c r="H52" s="9">
        <f t="shared" si="1"/>
        <v>0.25</v>
      </c>
      <c r="I52" s="6">
        <v>1</v>
      </c>
      <c r="J52" s="6">
        <v>2</v>
      </c>
      <c r="K52" s="6">
        <v>1</v>
      </c>
    </row>
    <row r="53" spans="1:11" x14ac:dyDescent="0.2">
      <c r="A53" s="5">
        <v>39357</v>
      </c>
      <c r="B53" s="6">
        <v>6</v>
      </c>
      <c r="C53" s="8" t="s">
        <v>35</v>
      </c>
      <c r="D53" s="8">
        <v>9</v>
      </c>
      <c r="E53" s="6" t="s">
        <v>17</v>
      </c>
      <c r="F53" s="6">
        <v>4</v>
      </c>
      <c r="G53" s="6">
        <v>0</v>
      </c>
      <c r="H53" s="9">
        <f t="shared" si="1"/>
        <v>0</v>
      </c>
      <c r="I53" s="6">
        <v>0</v>
      </c>
      <c r="J53" s="6">
        <v>0</v>
      </c>
      <c r="K53" s="6">
        <v>0</v>
      </c>
    </row>
    <row r="54" spans="1:11" x14ac:dyDescent="0.2">
      <c r="A54" s="5">
        <v>39329</v>
      </c>
      <c r="B54" s="6">
        <v>1</v>
      </c>
      <c r="C54" s="8" t="s">
        <v>36</v>
      </c>
      <c r="D54" s="8">
        <v>10</v>
      </c>
      <c r="E54" s="6" t="s">
        <v>18</v>
      </c>
      <c r="F54" s="6">
        <v>5</v>
      </c>
      <c r="G54" s="6">
        <v>5</v>
      </c>
      <c r="H54" s="9">
        <f t="shared" si="1"/>
        <v>1</v>
      </c>
      <c r="I54" s="6">
        <v>5</v>
      </c>
      <c r="J54" s="6">
        <v>0</v>
      </c>
      <c r="K54" s="6">
        <v>0</v>
      </c>
    </row>
    <row r="55" spans="1:11" x14ac:dyDescent="0.2">
      <c r="A55" s="5">
        <v>39336</v>
      </c>
      <c r="B55" s="6">
        <v>2</v>
      </c>
      <c r="C55" s="8" t="s">
        <v>36</v>
      </c>
      <c r="D55" s="8">
        <v>10</v>
      </c>
      <c r="E55" s="6" t="s">
        <v>18</v>
      </c>
      <c r="F55" s="6">
        <v>5</v>
      </c>
      <c r="G55" s="6">
        <v>2</v>
      </c>
      <c r="H55" s="9">
        <f t="shared" si="1"/>
        <v>0.4</v>
      </c>
      <c r="I55" s="6">
        <v>5</v>
      </c>
      <c r="J55" s="6">
        <v>0</v>
      </c>
      <c r="K55" s="6">
        <v>0</v>
      </c>
    </row>
    <row r="56" spans="1:11" x14ac:dyDescent="0.2">
      <c r="A56" s="5">
        <v>39343</v>
      </c>
      <c r="B56" s="6">
        <v>3</v>
      </c>
      <c r="C56" s="8" t="s">
        <v>36</v>
      </c>
      <c r="D56" s="8">
        <v>10</v>
      </c>
      <c r="E56" s="6" t="s">
        <v>18</v>
      </c>
      <c r="F56" s="6">
        <v>5</v>
      </c>
      <c r="G56" s="6">
        <v>4</v>
      </c>
      <c r="H56" s="9">
        <f t="shared" si="1"/>
        <v>0.8</v>
      </c>
      <c r="I56" s="6">
        <v>4</v>
      </c>
      <c r="J56" s="6">
        <v>0</v>
      </c>
      <c r="K56" s="6">
        <v>0</v>
      </c>
    </row>
    <row r="57" spans="1:11" x14ac:dyDescent="0.2">
      <c r="A57" s="5">
        <v>39350</v>
      </c>
      <c r="B57" s="6">
        <v>4</v>
      </c>
      <c r="C57" s="8" t="s">
        <v>36</v>
      </c>
      <c r="D57" s="8">
        <v>10</v>
      </c>
      <c r="E57" s="6" t="s">
        <v>18</v>
      </c>
      <c r="F57" s="6">
        <v>5</v>
      </c>
      <c r="G57" s="6">
        <v>1</v>
      </c>
      <c r="H57" s="9">
        <f t="shared" si="1"/>
        <v>0.2</v>
      </c>
      <c r="I57" s="6">
        <v>1</v>
      </c>
      <c r="J57" s="6">
        <v>0</v>
      </c>
      <c r="K57" s="6">
        <v>0</v>
      </c>
    </row>
    <row r="58" spans="1:11" x14ac:dyDescent="0.2">
      <c r="A58" s="5">
        <v>39357</v>
      </c>
      <c r="B58" s="6">
        <v>6</v>
      </c>
      <c r="C58" s="8" t="s">
        <v>36</v>
      </c>
      <c r="D58" s="8">
        <v>10</v>
      </c>
      <c r="E58" s="6" t="s">
        <v>18</v>
      </c>
      <c r="F58" s="6">
        <v>5</v>
      </c>
      <c r="G58" s="6">
        <v>0</v>
      </c>
      <c r="H58" s="9">
        <f t="shared" si="1"/>
        <v>0</v>
      </c>
      <c r="I58" s="6">
        <v>0</v>
      </c>
      <c r="J58" s="6">
        <v>0</v>
      </c>
      <c r="K58" s="6">
        <v>0</v>
      </c>
    </row>
    <row r="59" spans="1:11" x14ac:dyDescent="0.2">
      <c r="A59" s="5">
        <v>39329</v>
      </c>
      <c r="B59" s="6">
        <v>1</v>
      </c>
      <c r="C59" s="8" t="s">
        <v>37</v>
      </c>
      <c r="D59" s="8">
        <v>11</v>
      </c>
      <c r="E59" s="6" t="s">
        <v>19</v>
      </c>
      <c r="F59" s="6">
        <v>4</v>
      </c>
      <c r="G59" s="6">
        <v>1</v>
      </c>
      <c r="H59" s="9">
        <f t="shared" si="1"/>
        <v>0.25</v>
      </c>
      <c r="I59" s="6">
        <v>0</v>
      </c>
      <c r="J59" s="6">
        <v>0</v>
      </c>
      <c r="K59" s="6">
        <v>0</v>
      </c>
    </row>
    <row r="60" spans="1:11" x14ac:dyDescent="0.2">
      <c r="A60" s="5">
        <v>39336</v>
      </c>
      <c r="B60" s="6">
        <v>2</v>
      </c>
      <c r="C60" s="8" t="s">
        <v>37</v>
      </c>
      <c r="D60" s="8">
        <v>11</v>
      </c>
      <c r="E60" s="6" t="s">
        <v>19</v>
      </c>
      <c r="F60" s="6">
        <v>4</v>
      </c>
      <c r="G60" s="6">
        <v>1</v>
      </c>
      <c r="H60" s="9">
        <f t="shared" si="1"/>
        <v>0.25</v>
      </c>
      <c r="I60" s="6">
        <v>1</v>
      </c>
      <c r="J60" s="6">
        <v>1</v>
      </c>
      <c r="K60" s="6">
        <v>0</v>
      </c>
    </row>
    <row r="61" spans="1:11" x14ac:dyDescent="0.2">
      <c r="A61" s="5">
        <v>39343</v>
      </c>
      <c r="B61" s="6">
        <v>3</v>
      </c>
      <c r="C61" s="8" t="s">
        <v>37</v>
      </c>
      <c r="D61" s="8">
        <v>11</v>
      </c>
      <c r="E61" s="6" t="s">
        <v>19</v>
      </c>
      <c r="F61" s="6">
        <v>4</v>
      </c>
      <c r="G61" s="6">
        <v>2</v>
      </c>
      <c r="H61" s="9">
        <f t="shared" si="1"/>
        <v>0.5</v>
      </c>
      <c r="I61" s="6">
        <v>2</v>
      </c>
      <c r="J61" s="6">
        <v>0</v>
      </c>
      <c r="K61" s="6">
        <v>0</v>
      </c>
    </row>
    <row r="62" spans="1:11" x14ac:dyDescent="0.2">
      <c r="A62" s="5">
        <v>39350</v>
      </c>
      <c r="B62" s="6">
        <v>4</v>
      </c>
      <c r="C62" s="8" t="s">
        <v>37</v>
      </c>
      <c r="D62" s="8">
        <v>11</v>
      </c>
      <c r="E62" s="6" t="s">
        <v>19</v>
      </c>
      <c r="F62" s="6">
        <v>4</v>
      </c>
      <c r="G62" s="6">
        <v>0</v>
      </c>
      <c r="H62" s="9">
        <f t="shared" si="1"/>
        <v>0</v>
      </c>
      <c r="I62" s="6">
        <v>0</v>
      </c>
      <c r="J62" s="6">
        <v>0</v>
      </c>
      <c r="K62" s="6">
        <v>2</v>
      </c>
    </row>
    <row r="63" spans="1:11" x14ac:dyDescent="0.2">
      <c r="A63" s="5">
        <v>39357</v>
      </c>
      <c r="B63" s="6">
        <v>6</v>
      </c>
      <c r="C63" s="8" t="s">
        <v>37</v>
      </c>
      <c r="D63" s="8">
        <v>11</v>
      </c>
      <c r="E63" s="6" t="s">
        <v>19</v>
      </c>
      <c r="F63" s="6">
        <v>4</v>
      </c>
      <c r="G63" s="6">
        <v>0</v>
      </c>
      <c r="H63" s="9">
        <f t="shared" si="1"/>
        <v>0</v>
      </c>
      <c r="I63" s="6">
        <v>0</v>
      </c>
      <c r="J63" s="6">
        <v>0</v>
      </c>
      <c r="K63" s="6">
        <v>0</v>
      </c>
    </row>
    <row r="64" spans="1:11" x14ac:dyDescent="0.2">
      <c r="A64" s="5">
        <v>39338</v>
      </c>
      <c r="B64" s="6">
        <v>1</v>
      </c>
      <c r="C64" s="8" t="s">
        <v>38</v>
      </c>
      <c r="D64" s="8">
        <v>12</v>
      </c>
      <c r="E64" s="6" t="s">
        <v>20</v>
      </c>
      <c r="F64" s="6">
        <v>3</v>
      </c>
      <c r="G64" s="6">
        <v>4</v>
      </c>
      <c r="H64" s="9">
        <f t="shared" si="1"/>
        <v>1.3333333333333333</v>
      </c>
      <c r="I64" s="6">
        <v>5</v>
      </c>
      <c r="J64" s="6">
        <v>0</v>
      </c>
      <c r="K64" s="6">
        <v>0</v>
      </c>
    </row>
    <row r="65" spans="1:11" x14ac:dyDescent="0.2">
      <c r="A65" s="5">
        <v>39343</v>
      </c>
      <c r="B65" s="6">
        <v>2</v>
      </c>
      <c r="C65" s="8" t="s">
        <v>38</v>
      </c>
      <c r="D65" s="8">
        <v>12</v>
      </c>
      <c r="E65" s="6" t="s">
        <v>20</v>
      </c>
      <c r="F65" s="6">
        <v>3</v>
      </c>
      <c r="G65" s="6">
        <v>1</v>
      </c>
      <c r="H65" s="9">
        <f t="shared" si="1"/>
        <v>0.33333333333333331</v>
      </c>
      <c r="I65" s="6">
        <v>1</v>
      </c>
      <c r="J65" s="6">
        <v>0</v>
      </c>
      <c r="K65" s="6">
        <v>0</v>
      </c>
    </row>
    <row r="66" spans="1:11" x14ac:dyDescent="0.2">
      <c r="A66" s="5">
        <v>39351</v>
      </c>
      <c r="B66" s="6">
        <v>3</v>
      </c>
      <c r="C66" s="8" t="s">
        <v>38</v>
      </c>
      <c r="D66" s="8">
        <v>12</v>
      </c>
      <c r="E66" s="6" t="s">
        <v>20</v>
      </c>
      <c r="F66" s="6">
        <v>3</v>
      </c>
      <c r="G66" s="6">
        <v>0</v>
      </c>
      <c r="H66" s="9">
        <f t="shared" si="1"/>
        <v>0</v>
      </c>
      <c r="I66" s="6">
        <v>0</v>
      </c>
      <c r="J66" s="6">
        <v>0</v>
      </c>
      <c r="K66" s="6">
        <v>1</v>
      </c>
    </row>
    <row r="67" spans="1:11" x14ac:dyDescent="0.2">
      <c r="A67" s="5">
        <v>39338</v>
      </c>
      <c r="B67" s="6">
        <v>1</v>
      </c>
      <c r="C67" s="8" t="s">
        <v>124</v>
      </c>
      <c r="D67" s="8">
        <v>13</v>
      </c>
      <c r="E67" s="6" t="s">
        <v>21</v>
      </c>
      <c r="F67" s="6">
        <v>3</v>
      </c>
      <c r="G67" s="6">
        <v>4</v>
      </c>
      <c r="H67" s="9">
        <f t="shared" si="1"/>
        <v>1.3333333333333333</v>
      </c>
      <c r="I67" s="6">
        <v>1</v>
      </c>
      <c r="J67" s="6">
        <v>0</v>
      </c>
      <c r="K67" s="6">
        <v>0</v>
      </c>
    </row>
    <row r="68" spans="1:11" x14ac:dyDescent="0.2">
      <c r="A68" s="5">
        <v>39343</v>
      </c>
      <c r="B68" s="6">
        <v>2</v>
      </c>
      <c r="C68" s="8" t="s">
        <v>124</v>
      </c>
      <c r="D68" s="8">
        <v>13</v>
      </c>
      <c r="E68" s="6" t="s">
        <v>21</v>
      </c>
      <c r="F68" s="6">
        <v>3</v>
      </c>
      <c r="G68" s="6">
        <v>0</v>
      </c>
      <c r="H68" s="9">
        <f t="shared" ref="H68:H73" si="2">G68/F68</f>
        <v>0</v>
      </c>
      <c r="I68" s="6">
        <v>1</v>
      </c>
      <c r="J68" s="6">
        <v>0</v>
      </c>
      <c r="K68" s="6">
        <v>0</v>
      </c>
    </row>
    <row r="69" spans="1:11" x14ac:dyDescent="0.2">
      <c r="A69" s="5">
        <v>39351</v>
      </c>
      <c r="B69" s="6">
        <v>3</v>
      </c>
      <c r="C69" s="8" t="s">
        <v>124</v>
      </c>
      <c r="D69" s="8">
        <v>13</v>
      </c>
      <c r="E69" s="6" t="s">
        <v>21</v>
      </c>
      <c r="F69" s="6">
        <v>3</v>
      </c>
      <c r="G69" s="6">
        <v>2</v>
      </c>
      <c r="H69" s="9">
        <f t="shared" si="2"/>
        <v>0.66666666666666663</v>
      </c>
      <c r="I69" s="6">
        <v>4</v>
      </c>
      <c r="J69" s="6">
        <v>0</v>
      </c>
      <c r="K69" s="6">
        <v>0</v>
      </c>
    </row>
    <row r="70" spans="1:11" x14ac:dyDescent="0.2">
      <c r="A70" s="5">
        <v>39338</v>
      </c>
      <c r="B70" s="6">
        <v>1</v>
      </c>
      <c r="C70" s="8" t="s">
        <v>123</v>
      </c>
      <c r="D70" s="8">
        <v>14</v>
      </c>
      <c r="E70" s="6" t="s">
        <v>22</v>
      </c>
      <c r="F70" s="6">
        <v>3</v>
      </c>
      <c r="G70" s="6">
        <v>2</v>
      </c>
      <c r="H70" s="9">
        <f t="shared" si="2"/>
        <v>0.66666666666666663</v>
      </c>
      <c r="I70" s="6">
        <v>1</v>
      </c>
      <c r="J70" s="6">
        <v>1</v>
      </c>
      <c r="K70" s="6">
        <v>0</v>
      </c>
    </row>
    <row r="71" spans="1:11" x14ac:dyDescent="0.2">
      <c r="A71" s="5">
        <v>39343</v>
      </c>
      <c r="B71" s="6">
        <v>2</v>
      </c>
      <c r="C71" s="8" t="s">
        <v>123</v>
      </c>
      <c r="D71" s="8">
        <v>14</v>
      </c>
      <c r="E71" s="6" t="s">
        <v>22</v>
      </c>
      <c r="F71" s="6">
        <v>3</v>
      </c>
      <c r="G71" s="6">
        <v>3</v>
      </c>
      <c r="H71" s="9">
        <f t="shared" si="2"/>
        <v>1</v>
      </c>
      <c r="I71" s="6">
        <v>5</v>
      </c>
      <c r="J71" s="6">
        <v>0</v>
      </c>
      <c r="K71" s="6">
        <v>0</v>
      </c>
    </row>
    <row r="72" spans="1:11" ht="13.5" thickBot="1" x14ac:dyDescent="0.25">
      <c r="A72" s="5">
        <v>39351</v>
      </c>
      <c r="B72" s="6">
        <v>3</v>
      </c>
      <c r="C72" s="8" t="s">
        <v>123</v>
      </c>
      <c r="D72" s="8">
        <v>14</v>
      </c>
      <c r="E72" s="6" t="s">
        <v>22</v>
      </c>
      <c r="F72" s="80">
        <v>3</v>
      </c>
      <c r="G72" s="80">
        <v>0</v>
      </c>
      <c r="H72" s="69">
        <f t="shared" si="2"/>
        <v>0</v>
      </c>
      <c r="I72" s="80">
        <v>0</v>
      </c>
      <c r="J72" s="80">
        <v>0</v>
      </c>
      <c r="K72" s="80">
        <v>0</v>
      </c>
    </row>
    <row r="73" spans="1:11" x14ac:dyDescent="0.2">
      <c r="A73" s="5"/>
      <c r="C73" s="8"/>
      <c r="D73" s="8"/>
      <c r="E73" s="6"/>
      <c r="F73" s="3">
        <f>SUM(F4:F72)</f>
        <v>244</v>
      </c>
      <c r="G73" s="3">
        <f>SUM(G4:G72)</f>
        <v>299</v>
      </c>
      <c r="H73" s="64">
        <f t="shared" si="2"/>
        <v>1.2254098360655739</v>
      </c>
      <c r="I73" s="3">
        <f t="shared" ref="I73:K73" si="3">SUM(I4:I72)</f>
        <v>387</v>
      </c>
      <c r="J73" s="3">
        <f t="shared" si="3"/>
        <v>122</v>
      </c>
      <c r="K73" s="3">
        <f t="shared" si="3"/>
        <v>79</v>
      </c>
    </row>
    <row r="74" spans="1:11" x14ac:dyDescent="0.2">
      <c r="A74" s="5"/>
      <c r="C74" s="8"/>
      <c r="D74" s="8"/>
      <c r="E74" s="6"/>
      <c r="F74" s="6"/>
    </row>
    <row r="75" spans="1:11" x14ac:dyDescent="0.2">
      <c r="A75" s="5"/>
      <c r="C75" s="8"/>
      <c r="D75" s="8"/>
      <c r="E75" s="6"/>
      <c r="F75" s="6"/>
    </row>
  </sheetData>
  <sortState xmlns:xlrd2="http://schemas.microsoft.com/office/spreadsheetml/2017/richdata2" ref="A4:K72">
    <sortCondition ref="D4:D72"/>
  </sortState>
  <phoneticPr fontId="0" type="noConversion"/>
  <pageMargins left="0.75" right="0.75" top="1" bottom="1" header="0.5" footer="0.5"/>
  <pageSetup orientation="portrait" r:id="rId1"/>
  <headerFooter alignWithMargins="0"/>
  <ignoredErrors>
    <ignoredError sqref="H73" formula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122"/>
  <sheetViews>
    <sheetView workbookViewId="0">
      <pane xSplit="1" ySplit="3" topLeftCell="B32" activePane="bottomRight" state="frozen"/>
      <selection pane="topRight" activeCell="B1" sqref="B1"/>
      <selection pane="bottomLeft" activeCell="A4" sqref="A4"/>
      <selection pane="bottomRight" activeCell="G64" sqref="G64:G71"/>
    </sheetView>
  </sheetViews>
  <sheetFormatPr defaultRowHeight="12.75" x14ac:dyDescent="0.2"/>
  <cols>
    <col min="5" max="5" width="33.85546875" customWidth="1"/>
  </cols>
  <sheetData>
    <row r="1" spans="1:12" x14ac:dyDescent="0.2">
      <c r="A1" s="2"/>
      <c r="B1" s="2"/>
      <c r="C1" s="2" t="s">
        <v>25</v>
      </c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2" x14ac:dyDescent="0.2">
      <c r="A2" s="2" t="s">
        <v>0</v>
      </c>
      <c r="B2" s="2" t="s">
        <v>1</v>
      </c>
      <c r="C2" s="2" t="s">
        <v>26</v>
      </c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2" ht="13.5" thickBot="1" x14ac:dyDescent="0.25">
      <c r="A3" s="1"/>
      <c r="I3" s="1"/>
      <c r="J3" s="4" t="s">
        <v>6</v>
      </c>
      <c r="K3" s="4" t="s">
        <v>7</v>
      </c>
    </row>
    <row r="4" spans="1:12" x14ac:dyDescent="0.2">
      <c r="A4" s="5">
        <v>39323</v>
      </c>
      <c r="B4" s="6">
        <v>1</v>
      </c>
      <c r="C4" s="8" t="s">
        <v>27</v>
      </c>
      <c r="D4" s="8">
        <v>1</v>
      </c>
      <c r="E4" s="8" t="s">
        <v>9</v>
      </c>
      <c r="F4" s="6">
        <v>6</v>
      </c>
      <c r="G4" s="19">
        <v>1</v>
      </c>
      <c r="H4" s="86">
        <f>G4/F4</f>
        <v>0.16666666666666666</v>
      </c>
      <c r="I4" s="6">
        <v>1</v>
      </c>
      <c r="J4" s="6">
        <v>0</v>
      </c>
      <c r="K4" s="6">
        <v>0</v>
      </c>
    </row>
    <row r="5" spans="1:12" x14ac:dyDescent="0.2">
      <c r="A5" s="5">
        <v>39330</v>
      </c>
      <c r="B5" s="6">
        <v>2</v>
      </c>
      <c r="C5" s="8" t="s">
        <v>27</v>
      </c>
      <c r="D5" s="8">
        <v>1</v>
      </c>
      <c r="E5" s="8" t="s">
        <v>9</v>
      </c>
      <c r="F5" s="6">
        <v>6</v>
      </c>
      <c r="G5" s="19">
        <v>2</v>
      </c>
      <c r="H5" s="86">
        <f t="shared" ref="H5:H68" si="0">G5/F5</f>
        <v>0.33333333333333331</v>
      </c>
      <c r="I5" s="6">
        <v>8</v>
      </c>
      <c r="J5" s="6">
        <v>0</v>
      </c>
      <c r="K5" s="6">
        <v>0</v>
      </c>
    </row>
    <row r="6" spans="1:12" x14ac:dyDescent="0.2">
      <c r="A6" s="5">
        <v>39337</v>
      </c>
      <c r="B6" s="6">
        <v>3</v>
      </c>
      <c r="C6" s="8" t="s">
        <v>27</v>
      </c>
      <c r="D6" s="8">
        <v>1</v>
      </c>
      <c r="E6" s="8" t="s">
        <v>9</v>
      </c>
      <c r="F6" s="6">
        <v>6</v>
      </c>
      <c r="G6" s="19">
        <v>0</v>
      </c>
      <c r="H6" s="86">
        <f t="shared" si="0"/>
        <v>0</v>
      </c>
      <c r="I6" s="6">
        <v>1</v>
      </c>
      <c r="J6" s="6">
        <v>0</v>
      </c>
      <c r="K6" s="6">
        <v>0</v>
      </c>
    </row>
    <row r="7" spans="1:12" x14ac:dyDescent="0.2">
      <c r="A7" s="5">
        <v>39344</v>
      </c>
      <c r="B7" s="6">
        <v>4</v>
      </c>
      <c r="C7" s="8" t="s">
        <v>27</v>
      </c>
      <c r="D7" s="8">
        <v>1</v>
      </c>
      <c r="E7" s="8" t="s">
        <v>9</v>
      </c>
      <c r="F7" s="6">
        <v>6</v>
      </c>
      <c r="G7" s="19">
        <v>1</v>
      </c>
      <c r="H7" s="86">
        <f t="shared" si="0"/>
        <v>0.16666666666666666</v>
      </c>
      <c r="I7" s="6">
        <v>0</v>
      </c>
      <c r="J7" s="6">
        <v>0</v>
      </c>
      <c r="K7" s="6">
        <v>1</v>
      </c>
    </row>
    <row r="8" spans="1:12" x14ac:dyDescent="0.2">
      <c r="A8" s="5">
        <v>39351</v>
      </c>
      <c r="B8" s="6">
        <v>5</v>
      </c>
      <c r="C8" s="8" t="s">
        <v>27</v>
      </c>
      <c r="D8" s="8">
        <v>1</v>
      </c>
      <c r="E8" s="8" t="s">
        <v>9</v>
      </c>
      <c r="F8" s="6">
        <v>6</v>
      </c>
      <c r="G8" s="19">
        <v>0</v>
      </c>
      <c r="H8" s="86">
        <f t="shared" si="0"/>
        <v>0</v>
      </c>
      <c r="I8" s="6">
        <v>0</v>
      </c>
      <c r="J8" s="6">
        <v>0</v>
      </c>
      <c r="K8" s="6">
        <v>0</v>
      </c>
    </row>
    <row r="9" spans="1:12" x14ac:dyDescent="0.2">
      <c r="A9" s="5">
        <v>39323</v>
      </c>
      <c r="B9" s="6">
        <v>1</v>
      </c>
      <c r="C9" s="8" t="s">
        <v>28</v>
      </c>
      <c r="D9" s="8">
        <v>2</v>
      </c>
      <c r="E9" s="8" t="s">
        <v>10</v>
      </c>
      <c r="F9" s="6">
        <v>3</v>
      </c>
      <c r="G9" s="19">
        <v>7</v>
      </c>
      <c r="H9" s="86">
        <f t="shared" si="0"/>
        <v>2.3333333333333335</v>
      </c>
      <c r="I9" s="6">
        <v>12</v>
      </c>
      <c r="J9" s="6">
        <v>0</v>
      </c>
      <c r="K9" s="6">
        <v>0</v>
      </c>
    </row>
    <row r="10" spans="1:12" x14ac:dyDescent="0.2">
      <c r="A10" s="5">
        <v>39330</v>
      </c>
      <c r="B10" s="6">
        <v>2</v>
      </c>
      <c r="C10" s="8" t="s">
        <v>28</v>
      </c>
      <c r="D10" s="8">
        <v>2</v>
      </c>
      <c r="E10" s="8" t="s">
        <v>10</v>
      </c>
      <c r="F10" s="6">
        <v>3</v>
      </c>
      <c r="G10" s="19">
        <v>6</v>
      </c>
      <c r="H10" s="86">
        <f t="shared" si="0"/>
        <v>2</v>
      </c>
      <c r="I10" s="6">
        <v>9</v>
      </c>
      <c r="J10" s="6">
        <v>1</v>
      </c>
      <c r="K10" s="6">
        <v>3</v>
      </c>
    </row>
    <row r="11" spans="1:12" x14ac:dyDescent="0.2">
      <c r="A11" s="5">
        <v>39337</v>
      </c>
      <c r="B11" s="6">
        <v>3</v>
      </c>
      <c r="C11" s="8" t="s">
        <v>28</v>
      </c>
      <c r="D11" s="8">
        <v>2</v>
      </c>
      <c r="E11" s="8" t="s">
        <v>10</v>
      </c>
      <c r="F11" s="6">
        <v>3</v>
      </c>
      <c r="G11" s="19">
        <v>5</v>
      </c>
      <c r="H11" s="86">
        <f t="shared" si="0"/>
        <v>1.6666666666666667</v>
      </c>
      <c r="I11" s="6">
        <v>3</v>
      </c>
      <c r="J11" s="6">
        <v>0</v>
      </c>
      <c r="K11" s="6">
        <v>0</v>
      </c>
    </row>
    <row r="12" spans="1:12" x14ac:dyDescent="0.2">
      <c r="A12" s="5">
        <v>39344</v>
      </c>
      <c r="B12" s="6">
        <v>4</v>
      </c>
      <c r="C12" s="8" t="s">
        <v>28</v>
      </c>
      <c r="D12" s="8">
        <v>2</v>
      </c>
      <c r="E12" s="8" t="s">
        <v>10</v>
      </c>
      <c r="F12" s="6">
        <v>3</v>
      </c>
      <c r="G12" s="19">
        <v>0</v>
      </c>
      <c r="H12" s="86">
        <f t="shared" si="0"/>
        <v>0</v>
      </c>
      <c r="I12" s="6">
        <v>0</v>
      </c>
      <c r="J12" s="6">
        <v>0</v>
      </c>
      <c r="K12" s="6">
        <v>2</v>
      </c>
      <c r="L12" t="s">
        <v>152</v>
      </c>
    </row>
    <row r="13" spans="1:12" x14ac:dyDescent="0.2">
      <c r="A13" s="5">
        <v>39351</v>
      </c>
      <c r="B13" s="6">
        <v>5</v>
      </c>
      <c r="C13" s="8" t="s">
        <v>28</v>
      </c>
      <c r="D13" s="8">
        <v>2</v>
      </c>
      <c r="E13" s="8" t="s">
        <v>10</v>
      </c>
      <c r="F13" s="6">
        <v>3</v>
      </c>
      <c r="G13" s="19">
        <v>0</v>
      </c>
      <c r="H13" s="86">
        <f t="shared" si="0"/>
        <v>0</v>
      </c>
      <c r="I13" s="6">
        <v>1</v>
      </c>
      <c r="J13" s="6">
        <v>0</v>
      </c>
      <c r="K13" s="6">
        <v>2</v>
      </c>
    </row>
    <row r="14" spans="1:12" x14ac:dyDescent="0.2">
      <c r="A14" s="5">
        <v>39323</v>
      </c>
      <c r="B14" s="6">
        <v>1</v>
      </c>
      <c r="C14" s="8" t="s">
        <v>29</v>
      </c>
      <c r="D14" s="8">
        <v>3</v>
      </c>
      <c r="E14" s="8" t="s">
        <v>11</v>
      </c>
      <c r="F14" s="6">
        <v>2</v>
      </c>
      <c r="G14" s="19">
        <v>1</v>
      </c>
      <c r="H14" s="86">
        <f t="shared" si="0"/>
        <v>0.5</v>
      </c>
      <c r="I14" s="6">
        <v>2</v>
      </c>
      <c r="J14" s="6">
        <v>0</v>
      </c>
      <c r="K14" s="6">
        <v>3</v>
      </c>
    </row>
    <row r="15" spans="1:12" x14ac:dyDescent="0.2">
      <c r="A15" s="5">
        <v>39330</v>
      </c>
      <c r="B15" s="6">
        <v>2</v>
      </c>
      <c r="C15" s="8" t="s">
        <v>29</v>
      </c>
      <c r="D15" s="8">
        <v>3</v>
      </c>
      <c r="E15" s="8" t="s">
        <v>11</v>
      </c>
      <c r="F15" s="6">
        <v>2</v>
      </c>
      <c r="G15" s="19">
        <v>2</v>
      </c>
      <c r="H15" s="86">
        <f t="shared" si="0"/>
        <v>1</v>
      </c>
      <c r="I15" s="6">
        <v>5</v>
      </c>
      <c r="J15" s="6">
        <v>0</v>
      </c>
      <c r="K15" s="6">
        <v>3</v>
      </c>
    </row>
    <row r="16" spans="1:12" x14ac:dyDescent="0.2">
      <c r="A16" s="5">
        <v>39337</v>
      </c>
      <c r="B16" s="6">
        <v>3</v>
      </c>
      <c r="C16" s="8" t="s">
        <v>29</v>
      </c>
      <c r="D16" s="8">
        <v>3</v>
      </c>
      <c r="E16" s="8" t="s">
        <v>11</v>
      </c>
      <c r="F16" s="6">
        <v>2</v>
      </c>
      <c r="G16" s="19">
        <v>5</v>
      </c>
      <c r="H16" s="86">
        <f t="shared" si="0"/>
        <v>2.5</v>
      </c>
      <c r="I16" s="6">
        <v>13</v>
      </c>
      <c r="J16" s="6">
        <v>0</v>
      </c>
      <c r="K16" s="6">
        <v>1</v>
      </c>
    </row>
    <row r="17" spans="1:11" x14ac:dyDescent="0.2">
      <c r="A17" s="5">
        <v>39344</v>
      </c>
      <c r="B17" s="6">
        <v>4</v>
      </c>
      <c r="C17" s="8" t="s">
        <v>29</v>
      </c>
      <c r="D17" s="8">
        <v>3</v>
      </c>
      <c r="E17" s="8" t="s">
        <v>11</v>
      </c>
      <c r="F17" s="6">
        <v>2</v>
      </c>
      <c r="G17" s="19">
        <v>2</v>
      </c>
      <c r="H17" s="86">
        <f t="shared" si="0"/>
        <v>1</v>
      </c>
      <c r="I17" s="6">
        <v>1</v>
      </c>
      <c r="J17" s="6">
        <v>0</v>
      </c>
      <c r="K17" s="6">
        <v>0</v>
      </c>
    </row>
    <row r="18" spans="1:11" x14ac:dyDescent="0.2">
      <c r="A18" s="5">
        <v>39351</v>
      </c>
      <c r="B18" s="6">
        <v>5</v>
      </c>
      <c r="C18" s="8" t="s">
        <v>29</v>
      </c>
      <c r="D18" s="8">
        <v>3</v>
      </c>
      <c r="E18" s="8" t="s">
        <v>11</v>
      </c>
      <c r="F18" s="6">
        <v>2</v>
      </c>
      <c r="G18" s="19">
        <v>1</v>
      </c>
      <c r="H18" s="86">
        <f t="shared" si="0"/>
        <v>0.5</v>
      </c>
      <c r="I18" s="6">
        <v>0</v>
      </c>
      <c r="J18" s="6">
        <v>0</v>
      </c>
      <c r="K18" s="6">
        <v>1</v>
      </c>
    </row>
    <row r="19" spans="1:11" x14ac:dyDescent="0.2">
      <c r="A19" s="5">
        <v>39323</v>
      </c>
      <c r="B19" s="6">
        <v>1</v>
      </c>
      <c r="C19" s="8" t="s">
        <v>30</v>
      </c>
      <c r="D19" s="8">
        <v>4</v>
      </c>
      <c r="E19" s="8" t="s">
        <v>12</v>
      </c>
      <c r="F19" s="6">
        <v>5</v>
      </c>
      <c r="G19" s="19">
        <v>1</v>
      </c>
      <c r="H19" s="86">
        <f t="shared" si="0"/>
        <v>0.2</v>
      </c>
      <c r="I19" s="6">
        <v>19</v>
      </c>
      <c r="J19" s="6">
        <v>0</v>
      </c>
      <c r="K19" s="6">
        <v>2</v>
      </c>
    </row>
    <row r="20" spans="1:11" x14ac:dyDescent="0.2">
      <c r="A20" s="5">
        <v>39330</v>
      </c>
      <c r="B20" s="6">
        <v>2</v>
      </c>
      <c r="C20" s="8" t="s">
        <v>30</v>
      </c>
      <c r="D20" s="8">
        <v>4</v>
      </c>
      <c r="E20" s="8" t="s">
        <v>12</v>
      </c>
      <c r="F20" s="6">
        <v>5</v>
      </c>
      <c r="G20" s="19">
        <v>1</v>
      </c>
      <c r="H20" s="86">
        <f t="shared" si="0"/>
        <v>0.2</v>
      </c>
      <c r="I20" s="6">
        <v>60</v>
      </c>
      <c r="J20" s="6">
        <v>2</v>
      </c>
      <c r="K20" s="6">
        <v>0</v>
      </c>
    </row>
    <row r="21" spans="1:11" x14ac:dyDescent="0.2">
      <c r="A21" s="5">
        <v>39337</v>
      </c>
      <c r="B21" s="6">
        <v>3</v>
      </c>
      <c r="C21" s="8" t="s">
        <v>30</v>
      </c>
      <c r="D21" s="8">
        <v>4</v>
      </c>
      <c r="E21" s="8" t="s">
        <v>12</v>
      </c>
      <c r="F21" s="6">
        <v>5</v>
      </c>
      <c r="G21" s="19">
        <v>22</v>
      </c>
      <c r="H21" s="86">
        <f t="shared" si="0"/>
        <v>4.4000000000000004</v>
      </c>
      <c r="I21" s="6">
        <v>24</v>
      </c>
      <c r="J21" s="6">
        <v>1</v>
      </c>
      <c r="K21" s="6">
        <v>7</v>
      </c>
    </row>
    <row r="22" spans="1:11" x14ac:dyDescent="0.2">
      <c r="A22" s="5">
        <v>39344</v>
      </c>
      <c r="B22" s="6">
        <v>4</v>
      </c>
      <c r="C22" s="8" t="s">
        <v>30</v>
      </c>
      <c r="D22" s="8">
        <v>4</v>
      </c>
      <c r="E22" s="8" t="s">
        <v>12</v>
      </c>
      <c r="F22" s="6">
        <v>5</v>
      </c>
      <c r="G22" s="19">
        <v>19</v>
      </c>
      <c r="H22" s="86">
        <f t="shared" si="0"/>
        <v>3.8</v>
      </c>
      <c r="I22" s="6">
        <v>5</v>
      </c>
      <c r="J22" s="6">
        <v>2</v>
      </c>
      <c r="K22" s="6">
        <v>4</v>
      </c>
    </row>
    <row r="23" spans="1:11" x14ac:dyDescent="0.2">
      <c r="A23" s="5">
        <v>39351</v>
      </c>
      <c r="B23" s="6">
        <v>5</v>
      </c>
      <c r="C23" s="8" t="s">
        <v>30</v>
      </c>
      <c r="D23" s="8">
        <v>4</v>
      </c>
      <c r="E23" s="8" t="s">
        <v>12</v>
      </c>
      <c r="F23" s="6">
        <v>5</v>
      </c>
      <c r="G23" s="19">
        <v>3</v>
      </c>
      <c r="H23" s="86">
        <f t="shared" si="0"/>
        <v>0.6</v>
      </c>
      <c r="I23" s="6">
        <v>0</v>
      </c>
      <c r="J23" s="6">
        <v>1</v>
      </c>
      <c r="K23" s="6">
        <v>4</v>
      </c>
    </row>
    <row r="24" spans="1:11" x14ac:dyDescent="0.2">
      <c r="A24" s="5">
        <v>39323</v>
      </c>
      <c r="B24" s="6">
        <v>1</v>
      </c>
      <c r="C24" s="8" t="s">
        <v>31</v>
      </c>
      <c r="D24" s="8">
        <v>5</v>
      </c>
      <c r="E24" s="8" t="s">
        <v>13</v>
      </c>
      <c r="F24" s="6">
        <v>2</v>
      </c>
      <c r="G24" s="19">
        <v>1</v>
      </c>
      <c r="H24" s="86">
        <f t="shared" si="0"/>
        <v>0.5</v>
      </c>
      <c r="I24" s="6">
        <v>6</v>
      </c>
      <c r="J24" s="6">
        <v>0</v>
      </c>
      <c r="K24" s="6">
        <v>1</v>
      </c>
    </row>
    <row r="25" spans="1:11" x14ac:dyDescent="0.2">
      <c r="A25" s="5">
        <v>39330</v>
      </c>
      <c r="B25" s="6">
        <v>2</v>
      </c>
      <c r="C25" s="8" t="s">
        <v>31</v>
      </c>
      <c r="D25" s="8">
        <v>5</v>
      </c>
      <c r="E25" s="8" t="s">
        <v>13</v>
      </c>
      <c r="F25" s="6">
        <v>2</v>
      </c>
      <c r="G25" s="19">
        <v>15</v>
      </c>
      <c r="H25" s="86">
        <f t="shared" si="0"/>
        <v>7.5</v>
      </c>
      <c r="I25" s="6">
        <v>7</v>
      </c>
      <c r="J25" s="6">
        <v>0</v>
      </c>
      <c r="K25" s="6">
        <v>1</v>
      </c>
    </row>
    <row r="26" spans="1:11" x14ac:dyDescent="0.2">
      <c r="A26" s="5">
        <v>39337</v>
      </c>
      <c r="B26" s="6">
        <v>3</v>
      </c>
      <c r="C26" s="8" t="s">
        <v>31</v>
      </c>
      <c r="D26" s="8">
        <v>5</v>
      </c>
      <c r="E26" s="8" t="s">
        <v>13</v>
      </c>
      <c r="F26" s="6">
        <v>2</v>
      </c>
      <c r="G26" s="19">
        <v>6</v>
      </c>
      <c r="H26" s="86">
        <f t="shared" si="0"/>
        <v>3</v>
      </c>
      <c r="I26" s="6">
        <v>16</v>
      </c>
      <c r="J26" s="6">
        <v>0</v>
      </c>
      <c r="K26" s="6">
        <v>0</v>
      </c>
    </row>
    <row r="27" spans="1:11" x14ac:dyDescent="0.2">
      <c r="A27" s="5">
        <v>39344</v>
      </c>
      <c r="B27" s="6">
        <v>4</v>
      </c>
      <c r="C27" s="8" t="s">
        <v>31</v>
      </c>
      <c r="D27" s="8">
        <v>5</v>
      </c>
      <c r="E27" s="8" t="s">
        <v>13</v>
      </c>
      <c r="F27" s="6">
        <v>2</v>
      </c>
      <c r="G27" s="19">
        <v>1</v>
      </c>
      <c r="H27" s="86">
        <f t="shared" si="0"/>
        <v>0.5</v>
      </c>
      <c r="I27" s="6">
        <v>4</v>
      </c>
      <c r="J27" s="6">
        <v>0</v>
      </c>
      <c r="K27" s="6">
        <v>1</v>
      </c>
    </row>
    <row r="28" spans="1:11" x14ac:dyDescent="0.2">
      <c r="A28" s="5">
        <v>39351</v>
      </c>
      <c r="B28" s="6">
        <v>5</v>
      </c>
      <c r="C28" s="8" t="s">
        <v>31</v>
      </c>
      <c r="D28" s="8">
        <v>5</v>
      </c>
      <c r="E28" s="8" t="s">
        <v>13</v>
      </c>
      <c r="F28" s="6">
        <v>2</v>
      </c>
      <c r="G28" s="19">
        <v>1</v>
      </c>
      <c r="H28" s="86">
        <f t="shared" si="0"/>
        <v>0.5</v>
      </c>
      <c r="I28" s="6">
        <v>0</v>
      </c>
      <c r="J28" s="6">
        <v>0</v>
      </c>
      <c r="K28" s="6">
        <v>2</v>
      </c>
    </row>
    <row r="29" spans="1:11" x14ac:dyDescent="0.2">
      <c r="A29" s="5">
        <v>39323</v>
      </c>
      <c r="B29" s="6">
        <v>1</v>
      </c>
      <c r="C29" s="8" t="s">
        <v>32</v>
      </c>
      <c r="D29" s="8">
        <v>6</v>
      </c>
      <c r="E29" s="8" t="s">
        <v>14</v>
      </c>
      <c r="F29" s="6">
        <v>4</v>
      </c>
      <c r="G29" s="19">
        <v>0</v>
      </c>
      <c r="H29" s="86">
        <f t="shared" si="0"/>
        <v>0</v>
      </c>
      <c r="I29" s="6">
        <v>7</v>
      </c>
      <c r="J29" s="6">
        <v>0</v>
      </c>
      <c r="K29" s="6">
        <v>1</v>
      </c>
    </row>
    <row r="30" spans="1:11" x14ac:dyDescent="0.2">
      <c r="A30" s="5">
        <v>39330</v>
      </c>
      <c r="B30" s="6">
        <v>2</v>
      </c>
      <c r="C30" s="8" t="s">
        <v>32</v>
      </c>
      <c r="D30" s="8">
        <v>6</v>
      </c>
      <c r="E30" s="8" t="s">
        <v>14</v>
      </c>
      <c r="F30" s="6">
        <v>4</v>
      </c>
      <c r="G30" s="19">
        <v>20</v>
      </c>
      <c r="H30" s="86">
        <f t="shared" si="0"/>
        <v>5</v>
      </c>
      <c r="I30" s="6">
        <v>21</v>
      </c>
      <c r="J30" s="6">
        <v>0</v>
      </c>
      <c r="K30" s="6">
        <v>4</v>
      </c>
    </row>
    <row r="31" spans="1:11" x14ac:dyDescent="0.2">
      <c r="A31" s="5">
        <v>39337</v>
      </c>
      <c r="B31" s="6">
        <v>3</v>
      </c>
      <c r="C31" s="8" t="s">
        <v>32</v>
      </c>
      <c r="D31" s="8">
        <v>6</v>
      </c>
      <c r="E31" s="8" t="s">
        <v>14</v>
      </c>
      <c r="F31" s="6">
        <v>4</v>
      </c>
      <c r="G31" s="19">
        <v>18</v>
      </c>
      <c r="H31" s="86">
        <f t="shared" si="0"/>
        <v>4.5</v>
      </c>
      <c r="I31" s="6">
        <v>36</v>
      </c>
      <c r="J31" s="6">
        <v>11</v>
      </c>
      <c r="K31" s="6">
        <v>7</v>
      </c>
    </row>
    <row r="32" spans="1:11" x14ac:dyDescent="0.2">
      <c r="A32" s="5">
        <v>39344</v>
      </c>
      <c r="B32" s="6">
        <v>4</v>
      </c>
      <c r="C32" s="8" t="s">
        <v>32</v>
      </c>
      <c r="D32" s="8">
        <v>6</v>
      </c>
      <c r="E32" s="8" t="s">
        <v>14</v>
      </c>
      <c r="F32" s="6">
        <v>4</v>
      </c>
      <c r="G32" s="19">
        <v>3</v>
      </c>
      <c r="H32" s="86">
        <f t="shared" si="0"/>
        <v>0.75</v>
      </c>
      <c r="I32" s="6">
        <v>8</v>
      </c>
      <c r="J32" s="6">
        <v>15</v>
      </c>
      <c r="K32" s="6">
        <v>15</v>
      </c>
    </row>
    <row r="33" spans="1:11" x14ac:dyDescent="0.2">
      <c r="A33" s="5">
        <v>39351</v>
      </c>
      <c r="B33" s="6">
        <v>5</v>
      </c>
      <c r="C33" s="8" t="s">
        <v>32</v>
      </c>
      <c r="D33" s="8">
        <v>6</v>
      </c>
      <c r="E33" s="8" t="s">
        <v>14</v>
      </c>
      <c r="F33" s="6">
        <v>4</v>
      </c>
      <c r="G33" s="19">
        <v>3</v>
      </c>
      <c r="H33" s="86">
        <f t="shared" si="0"/>
        <v>0.75</v>
      </c>
      <c r="I33" s="6">
        <v>0</v>
      </c>
      <c r="J33" s="6">
        <v>0</v>
      </c>
      <c r="K33" s="6">
        <v>2</v>
      </c>
    </row>
    <row r="34" spans="1:11" x14ac:dyDescent="0.2">
      <c r="A34" s="5">
        <v>39323</v>
      </c>
      <c r="B34" s="6">
        <v>1</v>
      </c>
      <c r="C34" s="8" t="s">
        <v>33</v>
      </c>
      <c r="D34" s="8">
        <v>7</v>
      </c>
      <c r="E34" s="8" t="s">
        <v>15</v>
      </c>
      <c r="F34" s="6">
        <v>3</v>
      </c>
      <c r="G34" s="19">
        <v>0</v>
      </c>
      <c r="H34" s="86">
        <f t="shared" si="0"/>
        <v>0</v>
      </c>
      <c r="I34" s="6">
        <v>6</v>
      </c>
      <c r="J34" s="6">
        <v>0</v>
      </c>
      <c r="K34" s="6">
        <v>3</v>
      </c>
    </row>
    <row r="35" spans="1:11" x14ac:dyDescent="0.2">
      <c r="A35" s="5">
        <v>39330</v>
      </c>
      <c r="B35" s="6">
        <v>2</v>
      </c>
      <c r="C35" s="8" t="s">
        <v>33</v>
      </c>
      <c r="D35" s="8">
        <v>7</v>
      </c>
      <c r="E35" s="8" t="s">
        <v>15</v>
      </c>
      <c r="F35" s="6">
        <v>3</v>
      </c>
      <c r="G35" s="19">
        <v>3</v>
      </c>
      <c r="H35" s="86">
        <f t="shared" si="0"/>
        <v>1</v>
      </c>
      <c r="I35" s="6">
        <v>4</v>
      </c>
      <c r="J35" s="6">
        <v>0</v>
      </c>
      <c r="K35" s="6">
        <v>2</v>
      </c>
    </row>
    <row r="36" spans="1:11" x14ac:dyDescent="0.2">
      <c r="A36" s="5">
        <v>39337</v>
      </c>
      <c r="B36" s="6">
        <v>3</v>
      </c>
      <c r="C36" s="8" t="s">
        <v>33</v>
      </c>
      <c r="D36" s="8">
        <v>7</v>
      </c>
      <c r="E36" s="8" t="s">
        <v>15</v>
      </c>
      <c r="F36" s="6">
        <v>3</v>
      </c>
      <c r="G36" s="19">
        <v>11</v>
      </c>
      <c r="H36" s="86">
        <f t="shared" si="0"/>
        <v>3.6666666666666665</v>
      </c>
      <c r="I36" s="6">
        <v>12</v>
      </c>
      <c r="J36" s="6">
        <v>0</v>
      </c>
      <c r="K36" s="6">
        <v>5</v>
      </c>
    </row>
    <row r="37" spans="1:11" x14ac:dyDescent="0.2">
      <c r="A37" s="5">
        <v>39344</v>
      </c>
      <c r="B37" s="6">
        <v>4</v>
      </c>
      <c r="C37" s="8" t="s">
        <v>33</v>
      </c>
      <c r="D37" s="8">
        <v>7</v>
      </c>
      <c r="E37" s="8" t="s">
        <v>15</v>
      </c>
      <c r="F37" s="6">
        <v>3</v>
      </c>
      <c r="G37" s="19">
        <v>5</v>
      </c>
      <c r="H37" s="86">
        <f t="shared" si="0"/>
        <v>1.6666666666666667</v>
      </c>
      <c r="I37" s="6">
        <v>6</v>
      </c>
      <c r="J37" s="6">
        <v>1</v>
      </c>
      <c r="K37" s="6">
        <v>8</v>
      </c>
    </row>
    <row r="38" spans="1:11" x14ac:dyDescent="0.2">
      <c r="A38" s="5">
        <v>39351</v>
      </c>
      <c r="B38" s="6">
        <v>5</v>
      </c>
      <c r="C38" s="8" t="s">
        <v>33</v>
      </c>
      <c r="D38" s="8">
        <v>7</v>
      </c>
      <c r="E38" s="8" t="s">
        <v>15</v>
      </c>
      <c r="F38" s="6">
        <v>3</v>
      </c>
      <c r="G38" s="19">
        <v>0</v>
      </c>
      <c r="H38" s="86">
        <f t="shared" si="0"/>
        <v>0</v>
      </c>
      <c r="I38" s="6">
        <v>0</v>
      </c>
      <c r="J38" s="6">
        <v>0</v>
      </c>
      <c r="K38" s="6">
        <v>5</v>
      </c>
    </row>
    <row r="39" spans="1:11" x14ac:dyDescent="0.2">
      <c r="A39" s="5">
        <v>39323</v>
      </c>
      <c r="B39" s="6">
        <v>1</v>
      </c>
      <c r="C39" s="8" t="s">
        <v>34</v>
      </c>
      <c r="D39" s="8">
        <v>8</v>
      </c>
      <c r="E39" s="8" t="s">
        <v>16</v>
      </c>
      <c r="F39" s="6">
        <v>3</v>
      </c>
      <c r="G39" s="19">
        <v>0</v>
      </c>
      <c r="H39" s="86">
        <f t="shared" si="0"/>
        <v>0</v>
      </c>
      <c r="I39" s="6">
        <v>7</v>
      </c>
      <c r="J39" s="6">
        <v>0</v>
      </c>
      <c r="K39" s="6">
        <v>1</v>
      </c>
    </row>
    <row r="40" spans="1:11" x14ac:dyDescent="0.2">
      <c r="A40" s="5">
        <v>39330</v>
      </c>
      <c r="B40" s="6">
        <v>2</v>
      </c>
      <c r="C40" s="8" t="s">
        <v>34</v>
      </c>
      <c r="D40" s="8">
        <v>8</v>
      </c>
      <c r="E40" s="8" t="s">
        <v>16</v>
      </c>
      <c r="F40" s="6">
        <v>3</v>
      </c>
      <c r="G40" s="19">
        <v>5</v>
      </c>
      <c r="H40" s="86">
        <f t="shared" si="0"/>
        <v>1.6666666666666667</v>
      </c>
      <c r="I40" s="6">
        <v>6</v>
      </c>
      <c r="J40" s="6">
        <v>0</v>
      </c>
      <c r="K40" s="6">
        <v>2</v>
      </c>
    </row>
    <row r="41" spans="1:11" x14ac:dyDescent="0.2">
      <c r="A41" s="5">
        <v>39337</v>
      </c>
      <c r="B41" s="6">
        <v>3</v>
      </c>
      <c r="C41" s="8" t="s">
        <v>34</v>
      </c>
      <c r="D41" s="8">
        <v>8</v>
      </c>
      <c r="E41" s="8" t="s">
        <v>16</v>
      </c>
      <c r="F41" s="6">
        <v>3</v>
      </c>
      <c r="G41" s="19">
        <v>15</v>
      </c>
      <c r="H41" s="86">
        <f t="shared" si="0"/>
        <v>5</v>
      </c>
      <c r="I41" s="6">
        <v>32</v>
      </c>
      <c r="J41" s="6">
        <v>0</v>
      </c>
      <c r="K41" s="6">
        <v>4</v>
      </c>
    </row>
    <row r="42" spans="1:11" x14ac:dyDescent="0.2">
      <c r="A42" s="5">
        <v>39344</v>
      </c>
      <c r="B42" s="6">
        <v>4</v>
      </c>
      <c r="C42" s="8" t="s">
        <v>34</v>
      </c>
      <c r="D42" s="8">
        <v>8</v>
      </c>
      <c r="E42" s="8" t="s">
        <v>16</v>
      </c>
      <c r="F42" s="6">
        <v>3</v>
      </c>
      <c r="G42" s="19">
        <v>26</v>
      </c>
      <c r="H42" s="86">
        <f t="shared" si="0"/>
        <v>8.6666666666666661</v>
      </c>
      <c r="I42" s="6">
        <v>43</v>
      </c>
      <c r="J42" s="6">
        <v>6</v>
      </c>
      <c r="K42" s="6">
        <v>26</v>
      </c>
    </row>
    <row r="43" spans="1:11" x14ac:dyDescent="0.2">
      <c r="A43" s="5">
        <v>39351</v>
      </c>
      <c r="B43" s="6">
        <v>5</v>
      </c>
      <c r="C43" s="8" t="s">
        <v>34</v>
      </c>
      <c r="D43" s="8">
        <v>8</v>
      </c>
      <c r="E43" s="8" t="s">
        <v>16</v>
      </c>
      <c r="F43" s="6">
        <v>3</v>
      </c>
      <c r="G43" s="19">
        <v>4</v>
      </c>
      <c r="H43" s="86">
        <f t="shared" si="0"/>
        <v>1.3333333333333333</v>
      </c>
      <c r="I43" s="6">
        <v>6</v>
      </c>
      <c r="J43" s="6">
        <v>2</v>
      </c>
      <c r="K43" s="6">
        <v>19</v>
      </c>
    </row>
    <row r="44" spans="1:11" x14ac:dyDescent="0.2">
      <c r="A44" s="5">
        <v>39323</v>
      </c>
      <c r="B44" s="6">
        <v>1</v>
      </c>
      <c r="C44" s="8" t="s">
        <v>35</v>
      </c>
      <c r="D44" s="8">
        <v>9</v>
      </c>
      <c r="E44" s="8" t="s">
        <v>17</v>
      </c>
      <c r="F44" s="6">
        <v>4</v>
      </c>
      <c r="G44" s="19">
        <v>0</v>
      </c>
      <c r="H44" s="86">
        <f t="shared" si="0"/>
        <v>0</v>
      </c>
      <c r="I44" s="6">
        <v>2</v>
      </c>
      <c r="J44" s="6">
        <v>0</v>
      </c>
      <c r="K44" s="6">
        <v>0</v>
      </c>
    </row>
    <row r="45" spans="1:11" x14ac:dyDescent="0.2">
      <c r="A45" s="5">
        <v>39330</v>
      </c>
      <c r="B45" s="6">
        <v>2</v>
      </c>
      <c r="C45" s="8" t="s">
        <v>35</v>
      </c>
      <c r="D45" s="8">
        <v>9</v>
      </c>
      <c r="E45" s="8" t="s">
        <v>17</v>
      </c>
      <c r="F45" s="6">
        <v>4</v>
      </c>
      <c r="G45" s="19">
        <v>1</v>
      </c>
      <c r="H45" s="86">
        <f t="shared" si="0"/>
        <v>0.25</v>
      </c>
      <c r="I45" s="6">
        <v>5</v>
      </c>
      <c r="J45" s="6">
        <v>0</v>
      </c>
      <c r="K45" s="6">
        <v>1</v>
      </c>
    </row>
    <row r="46" spans="1:11" x14ac:dyDescent="0.2">
      <c r="A46" s="5">
        <v>39337</v>
      </c>
      <c r="B46" s="6">
        <v>3</v>
      </c>
      <c r="C46" s="8" t="s">
        <v>35</v>
      </c>
      <c r="D46" s="8">
        <v>9</v>
      </c>
      <c r="E46" s="8" t="s">
        <v>17</v>
      </c>
      <c r="F46" s="6">
        <v>4</v>
      </c>
      <c r="G46" s="19">
        <v>15</v>
      </c>
      <c r="H46" s="86">
        <f t="shared" si="0"/>
        <v>3.75</v>
      </c>
      <c r="I46" s="6">
        <v>30</v>
      </c>
      <c r="J46" s="6">
        <v>0</v>
      </c>
      <c r="K46" s="6">
        <v>1</v>
      </c>
    </row>
    <row r="47" spans="1:11" x14ac:dyDescent="0.2">
      <c r="A47" s="5">
        <v>39345</v>
      </c>
      <c r="B47" s="6">
        <v>4</v>
      </c>
      <c r="C47" s="8" t="s">
        <v>35</v>
      </c>
      <c r="D47" s="8">
        <v>9</v>
      </c>
      <c r="E47" s="8" t="s">
        <v>17</v>
      </c>
      <c r="F47" s="6">
        <v>4</v>
      </c>
      <c r="G47" s="19">
        <v>14</v>
      </c>
      <c r="H47" s="86">
        <f t="shared" si="0"/>
        <v>3.5</v>
      </c>
      <c r="I47" s="6">
        <v>18</v>
      </c>
      <c r="J47" s="6">
        <v>0</v>
      </c>
      <c r="K47" s="6">
        <v>8</v>
      </c>
    </row>
    <row r="48" spans="1:11" x14ac:dyDescent="0.2">
      <c r="A48" s="5">
        <v>39352</v>
      </c>
      <c r="B48" s="6">
        <v>5</v>
      </c>
      <c r="C48" s="8" t="s">
        <v>35</v>
      </c>
      <c r="D48" s="8">
        <v>9</v>
      </c>
      <c r="E48" s="8" t="s">
        <v>17</v>
      </c>
      <c r="F48" s="6">
        <v>4</v>
      </c>
      <c r="G48" s="19">
        <v>2</v>
      </c>
      <c r="H48" s="86">
        <f t="shared" si="0"/>
        <v>0.5</v>
      </c>
      <c r="I48" s="6">
        <v>4</v>
      </c>
      <c r="J48" s="6">
        <v>2</v>
      </c>
      <c r="K48" s="6">
        <v>11</v>
      </c>
    </row>
    <row r="49" spans="1:11" x14ac:dyDescent="0.2">
      <c r="A49" s="5">
        <v>39358</v>
      </c>
      <c r="B49" s="6">
        <v>6</v>
      </c>
      <c r="C49" s="8" t="s">
        <v>35</v>
      </c>
      <c r="D49" s="8">
        <v>9</v>
      </c>
      <c r="E49" s="8" t="s">
        <v>17</v>
      </c>
      <c r="F49" s="6">
        <v>4</v>
      </c>
      <c r="G49" s="19">
        <v>0</v>
      </c>
      <c r="H49" s="86">
        <f t="shared" si="0"/>
        <v>0</v>
      </c>
      <c r="I49" s="6">
        <v>0</v>
      </c>
      <c r="J49" s="6">
        <v>1</v>
      </c>
      <c r="K49" s="6">
        <v>2</v>
      </c>
    </row>
    <row r="50" spans="1:11" x14ac:dyDescent="0.2">
      <c r="A50" s="5">
        <v>39330</v>
      </c>
      <c r="B50" s="6">
        <v>2</v>
      </c>
      <c r="C50" s="8" t="s">
        <v>36</v>
      </c>
      <c r="D50" s="8">
        <v>10</v>
      </c>
      <c r="E50" s="8" t="s">
        <v>18</v>
      </c>
      <c r="F50" s="6">
        <v>5</v>
      </c>
      <c r="G50" s="19">
        <v>0</v>
      </c>
      <c r="H50" s="86">
        <f t="shared" si="0"/>
        <v>0</v>
      </c>
      <c r="I50" s="6">
        <v>1</v>
      </c>
      <c r="J50" s="6">
        <v>0</v>
      </c>
      <c r="K50" s="6">
        <v>0</v>
      </c>
    </row>
    <row r="51" spans="1:11" x14ac:dyDescent="0.2">
      <c r="A51" s="5">
        <v>37146</v>
      </c>
      <c r="B51" s="6">
        <v>3</v>
      </c>
      <c r="C51" s="8" t="s">
        <v>36</v>
      </c>
      <c r="D51" s="8">
        <v>10</v>
      </c>
      <c r="E51" s="8" t="s">
        <v>18</v>
      </c>
      <c r="F51" s="6">
        <v>5</v>
      </c>
      <c r="G51" s="19">
        <v>7</v>
      </c>
      <c r="H51" s="86">
        <f t="shared" si="0"/>
        <v>1.4</v>
      </c>
      <c r="I51" s="6">
        <v>10</v>
      </c>
      <c r="J51" s="6">
        <v>1</v>
      </c>
      <c r="K51" s="6">
        <v>2</v>
      </c>
    </row>
    <row r="52" spans="1:11" x14ac:dyDescent="0.2">
      <c r="A52" s="5">
        <v>39345</v>
      </c>
      <c r="B52" s="6">
        <v>4</v>
      </c>
      <c r="C52" s="8" t="s">
        <v>36</v>
      </c>
      <c r="D52" s="8">
        <v>10</v>
      </c>
      <c r="E52" s="8" t="s">
        <v>18</v>
      </c>
      <c r="F52" s="6">
        <v>5</v>
      </c>
      <c r="G52" s="19">
        <v>17</v>
      </c>
      <c r="H52" s="86">
        <f t="shared" si="0"/>
        <v>3.4</v>
      </c>
      <c r="I52" s="6">
        <v>22</v>
      </c>
      <c r="J52" s="6">
        <v>0</v>
      </c>
      <c r="K52" s="6">
        <v>2</v>
      </c>
    </row>
    <row r="53" spans="1:11" x14ac:dyDescent="0.2">
      <c r="A53" s="5">
        <v>39352</v>
      </c>
      <c r="B53" s="6">
        <v>5</v>
      </c>
      <c r="C53" s="8" t="s">
        <v>36</v>
      </c>
      <c r="D53" s="8">
        <v>10</v>
      </c>
      <c r="E53" s="8" t="s">
        <v>18</v>
      </c>
      <c r="F53" s="6">
        <v>5</v>
      </c>
      <c r="G53" s="19">
        <v>4</v>
      </c>
      <c r="H53" s="86">
        <f t="shared" si="0"/>
        <v>0.8</v>
      </c>
      <c r="I53" s="6">
        <v>5</v>
      </c>
      <c r="J53" s="6">
        <v>0</v>
      </c>
      <c r="K53" s="6">
        <v>16</v>
      </c>
    </row>
    <row r="54" spans="1:11" x14ac:dyDescent="0.2">
      <c r="A54" s="5">
        <v>39358</v>
      </c>
      <c r="B54" s="6">
        <v>6</v>
      </c>
      <c r="C54" s="8" t="s">
        <v>36</v>
      </c>
      <c r="D54" s="8">
        <v>10</v>
      </c>
      <c r="E54" s="8" t="s">
        <v>18</v>
      </c>
      <c r="F54" s="6">
        <v>5</v>
      </c>
      <c r="G54" s="19">
        <v>1</v>
      </c>
      <c r="H54" s="86">
        <f t="shared" si="0"/>
        <v>0.2</v>
      </c>
      <c r="I54" s="6">
        <v>1</v>
      </c>
      <c r="J54" s="6">
        <v>0</v>
      </c>
      <c r="K54" s="6">
        <v>0</v>
      </c>
    </row>
    <row r="55" spans="1:11" x14ac:dyDescent="0.2">
      <c r="A55" s="5">
        <v>39330</v>
      </c>
      <c r="B55" s="6">
        <v>2</v>
      </c>
      <c r="C55" s="8" t="s">
        <v>37</v>
      </c>
      <c r="D55" s="8">
        <v>11</v>
      </c>
      <c r="E55" s="8" t="s">
        <v>19</v>
      </c>
      <c r="F55" s="6">
        <v>4</v>
      </c>
      <c r="G55" s="19">
        <v>0</v>
      </c>
      <c r="H55" s="86">
        <f t="shared" si="0"/>
        <v>0</v>
      </c>
      <c r="I55" s="6">
        <v>0</v>
      </c>
      <c r="J55" s="6">
        <v>0</v>
      </c>
      <c r="K55" s="6">
        <v>0</v>
      </c>
    </row>
    <row r="56" spans="1:11" x14ac:dyDescent="0.2">
      <c r="A56" s="5">
        <v>39339</v>
      </c>
      <c r="B56" s="6">
        <v>3</v>
      </c>
      <c r="C56" s="8" t="s">
        <v>37</v>
      </c>
      <c r="D56" s="8">
        <v>11</v>
      </c>
      <c r="E56" s="8" t="s">
        <v>19</v>
      </c>
      <c r="F56" s="6">
        <v>4</v>
      </c>
      <c r="G56" s="19">
        <v>4</v>
      </c>
      <c r="H56" s="86">
        <f t="shared" si="0"/>
        <v>1</v>
      </c>
      <c r="I56" s="6">
        <v>3</v>
      </c>
      <c r="J56" s="6">
        <v>0</v>
      </c>
      <c r="K56" s="6">
        <v>0</v>
      </c>
    </row>
    <row r="57" spans="1:11" x14ac:dyDescent="0.2">
      <c r="A57" s="5">
        <v>39345</v>
      </c>
      <c r="B57" s="6">
        <v>4</v>
      </c>
      <c r="C57" s="8" t="s">
        <v>37</v>
      </c>
      <c r="D57" s="8">
        <v>11</v>
      </c>
      <c r="E57" s="8" t="s">
        <v>19</v>
      </c>
      <c r="F57" s="6">
        <v>4</v>
      </c>
      <c r="G57" s="19">
        <v>4</v>
      </c>
      <c r="H57" s="86">
        <f t="shared" si="0"/>
        <v>1</v>
      </c>
      <c r="I57" s="6">
        <v>6</v>
      </c>
      <c r="J57" s="6">
        <v>0</v>
      </c>
      <c r="K57" s="6">
        <v>1</v>
      </c>
    </row>
    <row r="58" spans="1:11" x14ac:dyDescent="0.2">
      <c r="A58" s="5">
        <v>39352</v>
      </c>
      <c r="B58" s="6">
        <v>5</v>
      </c>
      <c r="C58" s="8" t="s">
        <v>37</v>
      </c>
      <c r="D58" s="8">
        <v>11</v>
      </c>
      <c r="E58" s="8" t="s">
        <v>19</v>
      </c>
      <c r="F58" s="6">
        <v>4</v>
      </c>
      <c r="G58" s="19">
        <v>4</v>
      </c>
      <c r="H58" s="86">
        <f t="shared" si="0"/>
        <v>1</v>
      </c>
      <c r="I58" s="6">
        <v>2</v>
      </c>
      <c r="J58" s="6">
        <v>0</v>
      </c>
      <c r="K58" s="6">
        <v>3</v>
      </c>
    </row>
    <row r="59" spans="1:11" x14ac:dyDescent="0.2">
      <c r="A59" s="5">
        <v>39358</v>
      </c>
      <c r="B59" s="6">
        <v>6</v>
      </c>
      <c r="C59" s="8" t="s">
        <v>37</v>
      </c>
      <c r="D59" s="8">
        <v>11</v>
      </c>
      <c r="E59" s="8" t="s">
        <v>19</v>
      </c>
      <c r="F59" s="6">
        <v>4</v>
      </c>
      <c r="G59" s="19">
        <v>0</v>
      </c>
      <c r="H59" s="86">
        <f t="shared" si="0"/>
        <v>0</v>
      </c>
      <c r="I59" s="6">
        <v>0</v>
      </c>
      <c r="J59" s="6">
        <v>0</v>
      </c>
      <c r="K59" s="6">
        <v>3</v>
      </c>
    </row>
    <row r="60" spans="1:11" x14ac:dyDescent="0.2">
      <c r="A60" s="5">
        <v>39339</v>
      </c>
      <c r="B60" s="6">
        <v>3</v>
      </c>
      <c r="C60" s="8" t="s">
        <v>38</v>
      </c>
      <c r="D60" s="8">
        <v>12</v>
      </c>
      <c r="E60" s="8" t="s">
        <v>20</v>
      </c>
      <c r="F60" s="6">
        <v>3</v>
      </c>
      <c r="G60" s="19">
        <v>0</v>
      </c>
      <c r="H60" s="86">
        <f t="shared" si="0"/>
        <v>0</v>
      </c>
      <c r="I60" s="6">
        <v>1</v>
      </c>
      <c r="J60" s="6">
        <v>0</v>
      </c>
      <c r="K60" s="6">
        <v>0</v>
      </c>
    </row>
    <row r="61" spans="1:11" x14ac:dyDescent="0.2">
      <c r="A61" s="5">
        <v>37155</v>
      </c>
      <c r="B61" s="6">
        <v>4</v>
      </c>
      <c r="C61" s="8" t="s">
        <v>38</v>
      </c>
      <c r="D61" s="8">
        <v>12</v>
      </c>
      <c r="E61" s="8" t="s">
        <v>20</v>
      </c>
      <c r="F61" s="6">
        <v>3</v>
      </c>
      <c r="G61" s="19">
        <v>3</v>
      </c>
      <c r="H61" s="86">
        <f t="shared" si="0"/>
        <v>1</v>
      </c>
      <c r="I61" s="6">
        <v>5</v>
      </c>
      <c r="J61" s="6">
        <v>0</v>
      </c>
      <c r="K61" s="6">
        <v>0</v>
      </c>
    </row>
    <row r="62" spans="1:11" x14ac:dyDescent="0.2">
      <c r="A62" s="5">
        <v>37160</v>
      </c>
      <c r="B62" s="6">
        <v>5</v>
      </c>
      <c r="C62" s="8" t="s">
        <v>38</v>
      </c>
      <c r="D62" s="8">
        <v>12</v>
      </c>
      <c r="E62" s="8" t="s">
        <v>20</v>
      </c>
      <c r="F62" s="6">
        <v>3</v>
      </c>
      <c r="G62" s="19">
        <v>3</v>
      </c>
      <c r="H62" s="86">
        <f t="shared" si="0"/>
        <v>1</v>
      </c>
      <c r="I62" s="6">
        <v>2</v>
      </c>
      <c r="J62" s="6">
        <v>0</v>
      </c>
      <c r="K62" s="6">
        <v>0</v>
      </c>
    </row>
    <row r="63" spans="1:11" x14ac:dyDescent="0.2">
      <c r="A63" s="5">
        <v>37168</v>
      </c>
      <c r="B63" s="6">
        <v>6</v>
      </c>
      <c r="C63" s="8" t="s">
        <v>38</v>
      </c>
      <c r="D63" s="8">
        <v>12</v>
      </c>
      <c r="E63" s="8" t="s">
        <v>20</v>
      </c>
      <c r="F63" s="6">
        <v>3</v>
      </c>
      <c r="G63" s="19">
        <v>1</v>
      </c>
      <c r="H63" s="86">
        <f t="shared" si="0"/>
        <v>0.33333333333333331</v>
      </c>
      <c r="I63" s="6">
        <v>1</v>
      </c>
      <c r="J63" s="6">
        <v>0</v>
      </c>
      <c r="K63" s="6">
        <v>0</v>
      </c>
    </row>
    <row r="64" spans="1:11" x14ac:dyDescent="0.2">
      <c r="A64" s="5">
        <v>39339</v>
      </c>
      <c r="B64" s="6">
        <v>3</v>
      </c>
      <c r="C64" s="8" t="s">
        <v>124</v>
      </c>
      <c r="D64" s="8">
        <v>13</v>
      </c>
      <c r="E64" s="8" t="s">
        <v>21</v>
      </c>
      <c r="F64" s="6">
        <v>3</v>
      </c>
      <c r="G64" s="19">
        <v>0</v>
      </c>
      <c r="H64" s="86">
        <f t="shared" si="0"/>
        <v>0</v>
      </c>
      <c r="I64" s="6">
        <v>0</v>
      </c>
      <c r="J64" s="6">
        <v>0</v>
      </c>
      <c r="K64" s="6">
        <v>0</v>
      </c>
    </row>
    <row r="65" spans="1:11" x14ac:dyDescent="0.2">
      <c r="A65" s="5">
        <v>37155</v>
      </c>
      <c r="B65" s="6">
        <v>4</v>
      </c>
      <c r="C65" s="8" t="s">
        <v>124</v>
      </c>
      <c r="D65" s="8">
        <v>13</v>
      </c>
      <c r="E65" s="8" t="s">
        <v>21</v>
      </c>
      <c r="F65" s="6">
        <v>3</v>
      </c>
      <c r="G65" s="19">
        <v>1</v>
      </c>
      <c r="H65" s="86">
        <f t="shared" si="0"/>
        <v>0.33333333333333331</v>
      </c>
      <c r="I65" s="6">
        <v>1</v>
      </c>
      <c r="J65" s="6">
        <v>0</v>
      </c>
      <c r="K65" s="6">
        <v>0</v>
      </c>
    </row>
    <row r="66" spans="1:11" x14ac:dyDescent="0.2">
      <c r="A66" s="5">
        <v>37160</v>
      </c>
      <c r="B66" s="6">
        <v>5</v>
      </c>
      <c r="C66" s="8" t="s">
        <v>124</v>
      </c>
      <c r="D66" s="8">
        <v>13</v>
      </c>
      <c r="E66" s="8" t="s">
        <v>21</v>
      </c>
      <c r="F66" s="6">
        <v>3</v>
      </c>
      <c r="G66" s="19">
        <v>0</v>
      </c>
      <c r="H66" s="86">
        <f t="shared" si="0"/>
        <v>0</v>
      </c>
      <c r="I66" s="6">
        <v>0</v>
      </c>
      <c r="J66" s="6">
        <v>0</v>
      </c>
      <c r="K66" s="6">
        <v>0</v>
      </c>
    </row>
    <row r="67" spans="1:11" x14ac:dyDescent="0.2">
      <c r="A67" s="5">
        <v>39358</v>
      </c>
      <c r="B67" s="6">
        <v>6</v>
      </c>
      <c r="C67" s="8" t="s">
        <v>124</v>
      </c>
      <c r="D67" s="8">
        <v>13</v>
      </c>
      <c r="E67" s="8" t="s">
        <v>21</v>
      </c>
      <c r="F67" s="6">
        <v>3</v>
      </c>
      <c r="G67" s="19">
        <v>0</v>
      </c>
      <c r="H67" s="86">
        <f t="shared" si="0"/>
        <v>0</v>
      </c>
      <c r="I67" s="6">
        <v>0</v>
      </c>
      <c r="J67" s="6">
        <v>0</v>
      </c>
      <c r="K67" s="6">
        <v>0</v>
      </c>
    </row>
    <row r="68" spans="1:11" x14ac:dyDescent="0.2">
      <c r="A68" s="5">
        <v>39339</v>
      </c>
      <c r="B68" s="6">
        <v>3</v>
      </c>
      <c r="C68" s="8" t="s">
        <v>123</v>
      </c>
      <c r="D68" s="8">
        <v>14</v>
      </c>
      <c r="E68" s="8" t="s">
        <v>22</v>
      </c>
      <c r="F68" s="6">
        <v>3</v>
      </c>
      <c r="G68" s="19">
        <v>0</v>
      </c>
      <c r="H68" s="86">
        <f t="shared" si="0"/>
        <v>0</v>
      </c>
      <c r="I68" s="6">
        <v>0</v>
      </c>
      <c r="J68" s="6">
        <v>0</v>
      </c>
      <c r="K68" s="6">
        <v>0</v>
      </c>
    </row>
    <row r="69" spans="1:11" x14ac:dyDescent="0.2">
      <c r="A69" s="5">
        <v>37155</v>
      </c>
      <c r="B69" s="6">
        <v>4</v>
      </c>
      <c r="C69" s="8" t="s">
        <v>123</v>
      </c>
      <c r="D69" s="8">
        <v>14</v>
      </c>
      <c r="E69" s="8" t="s">
        <v>22</v>
      </c>
      <c r="F69" s="6">
        <v>3</v>
      </c>
      <c r="G69" s="19">
        <v>0</v>
      </c>
      <c r="H69" s="86">
        <f t="shared" ref="H69:H72" si="1">G69/F69</f>
        <v>0</v>
      </c>
      <c r="I69" s="6">
        <v>0</v>
      </c>
      <c r="J69" s="6">
        <v>0</v>
      </c>
      <c r="K69" s="6">
        <v>0</v>
      </c>
    </row>
    <row r="70" spans="1:11" x14ac:dyDescent="0.2">
      <c r="A70" s="5">
        <v>37160</v>
      </c>
      <c r="B70" s="6">
        <v>5</v>
      </c>
      <c r="C70" s="8" t="s">
        <v>123</v>
      </c>
      <c r="D70" s="8">
        <v>14</v>
      </c>
      <c r="E70" s="8" t="s">
        <v>22</v>
      </c>
      <c r="F70" s="6">
        <v>3</v>
      </c>
      <c r="G70" s="19">
        <v>0</v>
      </c>
      <c r="H70" s="86">
        <f t="shared" si="1"/>
        <v>0</v>
      </c>
      <c r="I70" s="6">
        <v>0</v>
      </c>
      <c r="J70" s="6">
        <v>0</v>
      </c>
      <c r="K70" s="6">
        <v>0</v>
      </c>
    </row>
    <row r="71" spans="1:11" ht="13.5" thickBot="1" x14ac:dyDescent="0.25">
      <c r="A71" s="5">
        <v>39358</v>
      </c>
      <c r="B71" s="6">
        <v>6</v>
      </c>
      <c r="C71" s="8" t="s">
        <v>123</v>
      </c>
      <c r="D71" s="8">
        <v>14</v>
      </c>
      <c r="E71" s="8" t="s">
        <v>22</v>
      </c>
      <c r="F71" s="80">
        <v>3</v>
      </c>
      <c r="G71" s="84">
        <v>0</v>
      </c>
      <c r="H71" s="87">
        <f t="shared" si="1"/>
        <v>0</v>
      </c>
      <c r="I71" s="80">
        <v>0</v>
      </c>
      <c r="J71" s="80">
        <v>0</v>
      </c>
      <c r="K71" s="80">
        <v>0</v>
      </c>
    </row>
    <row r="72" spans="1:11" x14ac:dyDescent="0.2">
      <c r="E72" s="1"/>
      <c r="F72" s="82">
        <f>SUM(F4:F71)</f>
        <v>245</v>
      </c>
      <c r="G72" s="82">
        <f>SUM(G4:G71)</f>
        <v>297</v>
      </c>
      <c r="H72" s="88">
        <f t="shared" si="1"/>
        <v>1.2122448979591838</v>
      </c>
      <c r="I72" s="82">
        <f t="shared" ref="I72:K72" si="2">SUM(I4:I71)</f>
        <v>510</v>
      </c>
      <c r="J72" s="82">
        <f t="shared" si="2"/>
        <v>46</v>
      </c>
      <c r="K72" s="82">
        <f t="shared" si="2"/>
        <v>192</v>
      </c>
    </row>
    <row r="73" spans="1:11" x14ac:dyDescent="0.2">
      <c r="E73" s="1"/>
    </row>
    <row r="74" spans="1:11" x14ac:dyDescent="0.2">
      <c r="E74" s="1"/>
    </row>
    <row r="75" spans="1:11" x14ac:dyDescent="0.2">
      <c r="E75" s="1"/>
    </row>
    <row r="76" spans="1:11" x14ac:dyDescent="0.2">
      <c r="E76" s="1"/>
    </row>
    <row r="77" spans="1:11" x14ac:dyDescent="0.2">
      <c r="E77" s="1"/>
    </row>
    <row r="78" spans="1:11" x14ac:dyDescent="0.2">
      <c r="E78" s="1"/>
    </row>
    <row r="79" spans="1:11" x14ac:dyDescent="0.2">
      <c r="E79" s="1"/>
    </row>
    <row r="80" spans="1:11" x14ac:dyDescent="0.2">
      <c r="E80" s="1"/>
    </row>
    <row r="81" spans="5:5" x14ac:dyDescent="0.2">
      <c r="E81" s="1"/>
    </row>
    <row r="82" spans="5:5" x14ac:dyDescent="0.2">
      <c r="E82" s="1"/>
    </row>
    <row r="83" spans="5:5" x14ac:dyDescent="0.2">
      <c r="E83" s="1"/>
    </row>
    <row r="84" spans="5:5" x14ac:dyDescent="0.2">
      <c r="E84" s="1"/>
    </row>
    <row r="85" spans="5:5" x14ac:dyDescent="0.2">
      <c r="E85" s="1"/>
    </row>
    <row r="86" spans="5:5" x14ac:dyDescent="0.2">
      <c r="E86" s="1"/>
    </row>
    <row r="87" spans="5:5" x14ac:dyDescent="0.2">
      <c r="E87" s="1"/>
    </row>
    <row r="88" spans="5:5" x14ac:dyDescent="0.2">
      <c r="E88" s="1"/>
    </row>
    <row r="89" spans="5:5" x14ac:dyDescent="0.2">
      <c r="E89" s="1"/>
    </row>
    <row r="90" spans="5:5" x14ac:dyDescent="0.2">
      <c r="E90" s="1"/>
    </row>
    <row r="91" spans="5:5" x14ac:dyDescent="0.2">
      <c r="E91" s="1"/>
    </row>
    <row r="92" spans="5:5" x14ac:dyDescent="0.2">
      <c r="E92" s="1"/>
    </row>
    <row r="93" spans="5:5" x14ac:dyDescent="0.2">
      <c r="E93" s="1"/>
    </row>
    <row r="94" spans="5:5" x14ac:dyDescent="0.2">
      <c r="E94" s="1"/>
    </row>
    <row r="95" spans="5:5" x14ac:dyDescent="0.2">
      <c r="E95" s="1"/>
    </row>
    <row r="96" spans="5:5" x14ac:dyDescent="0.2">
      <c r="E96" s="1"/>
    </row>
    <row r="97" spans="5:5" x14ac:dyDescent="0.2">
      <c r="E97" s="1"/>
    </row>
    <row r="98" spans="5:5" x14ac:dyDescent="0.2">
      <c r="E98" s="1"/>
    </row>
    <row r="99" spans="5:5" x14ac:dyDescent="0.2">
      <c r="E99" s="1"/>
    </row>
    <row r="100" spans="5:5" x14ac:dyDescent="0.2">
      <c r="E100" s="1"/>
    </row>
    <row r="101" spans="5:5" x14ac:dyDescent="0.2">
      <c r="E101" s="1"/>
    </row>
    <row r="102" spans="5:5" x14ac:dyDescent="0.2">
      <c r="E102" s="1"/>
    </row>
    <row r="103" spans="5:5" x14ac:dyDescent="0.2">
      <c r="E103" s="1"/>
    </row>
    <row r="104" spans="5:5" x14ac:dyDescent="0.2">
      <c r="E104" s="1"/>
    </row>
    <row r="105" spans="5:5" x14ac:dyDescent="0.2">
      <c r="E105" s="1"/>
    </row>
    <row r="106" spans="5:5" x14ac:dyDescent="0.2">
      <c r="E106" s="1"/>
    </row>
    <row r="107" spans="5:5" x14ac:dyDescent="0.2">
      <c r="E107" s="1"/>
    </row>
    <row r="108" spans="5:5" x14ac:dyDescent="0.2">
      <c r="E108" s="1"/>
    </row>
    <row r="109" spans="5:5" x14ac:dyDescent="0.2">
      <c r="E109" s="1"/>
    </row>
    <row r="110" spans="5:5" x14ac:dyDescent="0.2">
      <c r="E110" s="1"/>
    </row>
    <row r="111" spans="5:5" x14ac:dyDescent="0.2">
      <c r="E111" s="1"/>
    </row>
    <row r="112" spans="5:5" x14ac:dyDescent="0.2">
      <c r="E112" s="1"/>
    </row>
    <row r="113" spans="5:5" x14ac:dyDescent="0.2">
      <c r="E113" s="1"/>
    </row>
    <row r="114" spans="5:5" x14ac:dyDescent="0.2">
      <c r="E114" s="1"/>
    </row>
    <row r="115" spans="5:5" x14ac:dyDescent="0.2">
      <c r="E115" s="1"/>
    </row>
    <row r="116" spans="5:5" x14ac:dyDescent="0.2">
      <c r="E116" s="1"/>
    </row>
    <row r="117" spans="5:5" x14ac:dyDescent="0.2">
      <c r="E117" s="1"/>
    </row>
    <row r="118" spans="5:5" x14ac:dyDescent="0.2">
      <c r="E118" s="1"/>
    </row>
    <row r="119" spans="5:5" x14ac:dyDescent="0.2">
      <c r="E119" s="1"/>
    </row>
    <row r="120" spans="5:5" x14ac:dyDescent="0.2">
      <c r="E120" s="1"/>
    </row>
    <row r="121" spans="5:5" x14ac:dyDescent="0.2">
      <c r="E121" s="1"/>
    </row>
    <row r="122" spans="5:5" x14ac:dyDescent="0.2">
      <c r="E122" s="1"/>
    </row>
  </sheetData>
  <phoneticPr fontId="0" type="noConversion"/>
  <pageMargins left="0.75" right="0.75" top="1" bottom="1" header="0.5" footer="0.5"/>
  <pageSetup orientation="portrait" r:id="rId1"/>
  <headerFooter alignWithMargins="0"/>
  <ignoredErrors>
    <ignoredError sqref="H72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51"/>
  <sheetViews>
    <sheetView workbookViewId="0">
      <pane xSplit="1" ySplit="3" topLeftCell="B12" activePane="bottomRight" state="frozen"/>
      <selection pane="topRight" activeCell="B1" sqref="B1"/>
      <selection pane="bottomLeft" activeCell="A4" sqref="A4"/>
      <selection pane="bottomRight" activeCell="G38" sqref="G38:G50"/>
    </sheetView>
  </sheetViews>
  <sheetFormatPr defaultRowHeight="12.75" x14ac:dyDescent="0.2"/>
  <cols>
    <col min="5" max="5" width="29.140625" bestFit="1" customWidth="1"/>
  </cols>
  <sheetData>
    <row r="1" spans="1:11" x14ac:dyDescent="0.2">
      <c r="A1" s="2"/>
      <c r="B1" s="2"/>
      <c r="C1" s="2" t="s">
        <v>25</v>
      </c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1" x14ac:dyDescent="0.2">
      <c r="A2" s="2" t="s">
        <v>0</v>
      </c>
      <c r="B2" s="2" t="s">
        <v>1</v>
      </c>
      <c r="C2" s="2" t="s">
        <v>26</v>
      </c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1" ht="13.5" thickBot="1" x14ac:dyDescent="0.25">
      <c r="A3" s="1"/>
      <c r="I3" s="1"/>
      <c r="J3" s="4" t="s">
        <v>6</v>
      </c>
      <c r="K3" s="4" t="s">
        <v>7</v>
      </c>
    </row>
    <row r="4" spans="1:11" x14ac:dyDescent="0.2">
      <c r="A4" s="5">
        <v>39324</v>
      </c>
      <c r="B4" s="6">
        <v>1</v>
      </c>
      <c r="C4" s="8" t="s">
        <v>27</v>
      </c>
      <c r="D4" s="8">
        <v>1</v>
      </c>
      <c r="E4" s="6" t="s">
        <v>9</v>
      </c>
      <c r="F4" s="6">
        <v>6</v>
      </c>
      <c r="G4" s="6">
        <v>0</v>
      </c>
      <c r="H4" s="86">
        <f>G4/F4</f>
        <v>0</v>
      </c>
      <c r="I4" s="6">
        <v>0</v>
      </c>
      <c r="J4" s="6">
        <v>0</v>
      </c>
      <c r="K4" s="6">
        <v>0</v>
      </c>
    </row>
    <row r="5" spans="1:11" x14ac:dyDescent="0.2">
      <c r="A5" s="5">
        <v>39330</v>
      </c>
      <c r="B5" s="6">
        <v>2</v>
      </c>
      <c r="C5" s="8" t="s">
        <v>27</v>
      </c>
      <c r="D5" s="8">
        <v>1</v>
      </c>
      <c r="E5" s="6" t="s">
        <v>9</v>
      </c>
      <c r="F5" s="6">
        <v>6</v>
      </c>
      <c r="G5" s="6">
        <v>0</v>
      </c>
      <c r="H5" s="86">
        <f t="shared" ref="H5:H51" si="0">G5/F5</f>
        <v>0</v>
      </c>
      <c r="I5" s="6">
        <v>0</v>
      </c>
      <c r="J5" s="6">
        <v>0</v>
      </c>
      <c r="K5" s="6">
        <v>0</v>
      </c>
    </row>
    <row r="6" spans="1:11" x14ac:dyDescent="0.2">
      <c r="A6" s="5">
        <v>39324</v>
      </c>
      <c r="B6" s="6">
        <v>1</v>
      </c>
      <c r="C6" s="8" t="s">
        <v>28</v>
      </c>
      <c r="D6" s="8">
        <v>2</v>
      </c>
      <c r="E6" s="6" t="s">
        <v>10</v>
      </c>
      <c r="F6" s="6">
        <v>3</v>
      </c>
      <c r="G6" s="6">
        <v>3</v>
      </c>
      <c r="H6" s="86">
        <f t="shared" si="0"/>
        <v>1</v>
      </c>
      <c r="I6" s="6">
        <v>7</v>
      </c>
      <c r="J6" s="6">
        <v>0</v>
      </c>
      <c r="K6" s="6">
        <v>0</v>
      </c>
    </row>
    <row r="7" spans="1:11" x14ac:dyDescent="0.2">
      <c r="A7" s="5">
        <v>39330</v>
      </c>
      <c r="B7" s="6">
        <v>2</v>
      </c>
      <c r="C7" s="8" t="s">
        <v>28</v>
      </c>
      <c r="D7" s="8">
        <v>2</v>
      </c>
      <c r="E7" s="6" t="s">
        <v>10</v>
      </c>
      <c r="F7" s="6">
        <v>3</v>
      </c>
      <c r="G7" s="6">
        <v>1</v>
      </c>
      <c r="H7" s="86">
        <f t="shared" si="0"/>
        <v>0.33333333333333331</v>
      </c>
      <c r="I7" s="6">
        <v>3</v>
      </c>
      <c r="J7" s="6">
        <v>0</v>
      </c>
      <c r="K7" s="6">
        <v>0</v>
      </c>
    </row>
    <row r="8" spans="1:11" x14ac:dyDescent="0.2">
      <c r="A8" s="5">
        <v>39333</v>
      </c>
      <c r="B8" s="6">
        <v>3</v>
      </c>
      <c r="C8" s="8" t="s">
        <v>28</v>
      </c>
      <c r="D8" s="8">
        <v>2</v>
      </c>
      <c r="E8" s="6" t="s">
        <v>10</v>
      </c>
      <c r="F8" s="6">
        <v>3</v>
      </c>
      <c r="G8" s="6">
        <v>0</v>
      </c>
      <c r="H8" s="86">
        <f t="shared" si="0"/>
        <v>0</v>
      </c>
      <c r="I8" s="6">
        <v>2</v>
      </c>
      <c r="J8" s="6">
        <v>0</v>
      </c>
      <c r="K8" s="6">
        <v>1</v>
      </c>
    </row>
    <row r="9" spans="1:11" x14ac:dyDescent="0.2">
      <c r="A9" s="5">
        <v>39323</v>
      </c>
      <c r="B9" s="6">
        <v>1</v>
      </c>
      <c r="C9" s="8" t="s">
        <v>29</v>
      </c>
      <c r="D9" s="8">
        <v>3</v>
      </c>
      <c r="E9" s="6" t="s">
        <v>11</v>
      </c>
      <c r="F9" s="6">
        <v>2</v>
      </c>
      <c r="G9" s="6">
        <v>0</v>
      </c>
      <c r="H9" s="86">
        <f t="shared" si="0"/>
        <v>0</v>
      </c>
      <c r="I9" s="6">
        <v>0</v>
      </c>
      <c r="J9" s="6">
        <v>0</v>
      </c>
      <c r="K9" s="6">
        <v>0</v>
      </c>
    </row>
    <row r="10" spans="1:11" x14ac:dyDescent="0.2">
      <c r="A10" s="5">
        <v>39331</v>
      </c>
      <c r="B10" s="6">
        <v>2</v>
      </c>
      <c r="C10" s="8" t="s">
        <v>29</v>
      </c>
      <c r="D10" s="8">
        <v>3</v>
      </c>
      <c r="E10" s="6" t="s">
        <v>11</v>
      </c>
      <c r="F10" s="6">
        <v>2</v>
      </c>
      <c r="G10" s="6">
        <v>1</v>
      </c>
      <c r="H10" s="86">
        <f t="shared" si="0"/>
        <v>0.5</v>
      </c>
      <c r="I10" s="6">
        <v>1</v>
      </c>
      <c r="J10" s="6">
        <v>0</v>
      </c>
      <c r="K10" s="6">
        <v>0</v>
      </c>
    </row>
    <row r="11" spans="1:11" x14ac:dyDescent="0.2">
      <c r="A11" s="5">
        <v>39333</v>
      </c>
      <c r="B11" s="6">
        <v>3</v>
      </c>
      <c r="C11" s="8" t="s">
        <v>29</v>
      </c>
      <c r="D11" s="8">
        <v>3</v>
      </c>
      <c r="E11" s="6" t="s">
        <v>11</v>
      </c>
      <c r="F11" s="6">
        <v>2</v>
      </c>
      <c r="G11" s="6">
        <v>2</v>
      </c>
      <c r="H11" s="86">
        <f t="shared" si="0"/>
        <v>1</v>
      </c>
      <c r="I11" s="6">
        <v>2</v>
      </c>
      <c r="J11" s="6">
        <v>0</v>
      </c>
      <c r="K11" s="6">
        <v>0</v>
      </c>
    </row>
    <row r="12" spans="1:11" x14ac:dyDescent="0.2">
      <c r="A12" s="5">
        <v>39338</v>
      </c>
      <c r="B12" s="6">
        <v>4</v>
      </c>
      <c r="C12" s="8" t="s">
        <v>29</v>
      </c>
      <c r="D12" s="8">
        <v>3</v>
      </c>
      <c r="E12" s="6" t="s">
        <v>11</v>
      </c>
      <c r="F12" s="6">
        <v>2</v>
      </c>
      <c r="G12" s="6">
        <v>1</v>
      </c>
      <c r="H12" s="86">
        <f t="shared" si="0"/>
        <v>0.5</v>
      </c>
      <c r="I12" s="6">
        <v>2</v>
      </c>
      <c r="J12" s="6">
        <v>3</v>
      </c>
      <c r="K12" s="6">
        <v>0</v>
      </c>
    </row>
    <row r="13" spans="1:11" x14ac:dyDescent="0.2">
      <c r="A13" s="5">
        <v>39345</v>
      </c>
      <c r="B13" s="6">
        <v>5</v>
      </c>
      <c r="C13" s="8" t="s">
        <v>29</v>
      </c>
      <c r="D13" s="8">
        <v>3</v>
      </c>
      <c r="E13" s="6" t="s">
        <v>11</v>
      </c>
      <c r="F13" s="6">
        <v>2</v>
      </c>
      <c r="G13" s="6">
        <v>0</v>
      </c>
      <c r="H13" s="86">
        <f t="shared" si="0"/>
        <v>0</v>
      </c>
      <c r="I13" s="6">
        <v>0</v>
      </c>
      <c r="J13" s="6">
        <v>0</v>
      </c>
      <c r="K13" s="6">
        <v>0</v>
      </c>
    </row>
    <row r="14" spans="1:11" x14ac:dyDescent="0.2">
      <c r="A14" s="5">
        <v>39323</v>
      </c>
      <c r="B14" s="6">
        <v>1</v>
      </c>
      <c r="C14" s="8" t="s">
        <v>30</v>
      </c>
      <c r="D14" s="8">
        <v>4</v>
      </c>
      <c r="E14" s="6" t="s">
        <v>12</v>
      </c>
      <c r="F14" s="6">
        <v>5</v>
      </c>
      <c r="G14" s="6">
        <v>1</v>
      </c>
      <c r="H14" s="86">
        <f t="shared" si="0"/>
        <v>0.2</v>
      </c>
      <c r="I14" s="6">
        <v>1</v>
      </c>
      <c r="J14" s="6">
        <v>0</v>
      </c>
      <c r="K14" s="6">
        <v>0</v>
      </c>
    </row>
    <row r="15" spans="1:11" x14ac:dyDescent="0.2">
      <c r="A15" s="5">
        <v>39331</v>
      </c>
      <c r="B15" s="6">
        <v>2</v>
      </c>
      <c r="C15" s="8" t="s">
        <v>30</v>
      </c>
      <c r="D15" s="8">
        <v>4</v>
      </c>
      <c r="E15" s="6" t="s">
        <v>12</v>
      </c>
      <c r="F15" s="6">
        <v>5</v>
      </c>
      <c r="G15" s="6">
        <v>7</v>
      </c>
      <c r="H15" s="86">
        <f t="shared" si="0"/>
        <v>1.4</v>
      </c>
      <c r="I15" s="6">
        <v>11</v>
      </c>
      <c r="J15" s="6">
        <v>1</v>
      </c>
      <c r="K15" s="6">
        <v>0</v>
      </c>
    </row>
    <row r="16" spans="1:11" x14ac:dyDescent="0.2">
      <c r="A16" s="5">
        <v>39333</v>
      </c>
      <c r="B16" s="6">
        <v>3</v>
      </c>
      <c r="C16" s="8" t="s">
        <v>30</v>
      </c>
      <c r="D16" s="8">
        <v>4</v>
      </c>
      <c r="E16" s="6" t="s">
        <v>12</v>
      </c>
      <c r="F16" s="6">
        <v>5</v>
      </c>
      <c r="G16" s="6">
        <v>0</v>
      </c>
      <c r="H16" s="86">
        <f t="shared" si="0"/>
        <v>0</v>
      </c>
      <c r="I16" s="6">
        <v>0</v>
      </c>
      <c r="J16" s="6">
        <v>1</v>
      </c>
      <c r="K16" s="6">
        <v>0</v>
      </c>
    </row>
    <row r="17" spans="1:11" x14ac:dyDescent="0.2">
      <c r="A17" s="5">
        <v>39338</v>
      </c>
      <c r="B17" s="6">
        <v>4</v>
      </c>
      <c r="C17" s="8" t="s">
        <v>30</v>
      </c>
      <c r="D17" s="8">
        <v>4</v>
      </c>
      <c r="E17" s="6" t="s">
        <v>12</v>
      </c>
      <c r="F17" s="6">
        <v>5</v>
      </c>
      <c r="G17" s="6">
        <v>1</v>
      </c>
      <c r="H17" s="86">
        <f t="shared" si="0"/>
        <v>0.2</v>
      </c>
      <c r="I17" s="6">
        <v>7</v>
      </c>
      <c r="J17" s="6">
        <v>1</v>
      </c>
      <c r="K17" s="6">
        <v>0</v>
      </c>
    </row>
    <row r="18" spans="1:11" x14ac:dyDescent="0.2">
      <c r="A18" s="5">
        <v>39345</v>
      </c>
      <c r="B18" s="6">
        <v>5</v>
      </c>
      <c r="C18" s="8" t="s">
        <v>30</v>
      </c>
      <c r="D18" s="8">
        <v>4</v>
      </c>
      <c r="E18" s="6" t="s">
        <v>12</v>
      </c>
      <c r="F18" s="6">
        <v>5</v>
      </c>
      <c r="G18" s="6">
        <v>1</v>
      </c>
      <c r="H18" s="86">
        <f t="shared" si="0"/>
        <v>0.2</v>
      </c>
      <c r="I18" s="6">
        <v>1</v>
      </c>
      <c r="J18" s="6">
        <v>0</v>
      </c>
      <c r="K18" s="6">
        <v>0</v>
      </c>
    </row>
    <row r="19" spans="1:11" x14ac:dyDescent="0.2">
      <c r="A19" s="5">
        <v>39323</v>
      </c>
      <c r="B19" s="6">
        <v>1</v>
      </c>
      <c r="C19" s="8" t="s">
        <v>31</v>
      </c>
      <c r="D19" s="8">
        <v>5</v>
      </c>
      <c r="E19" s="6" t="s">
        <v>13</v>
      </c>
      <c r="F19" s="6">
        <v>2</v>
      </c>
      <c r="G19" s="6">
        <v>2</v>
      </c>
      <c r="H19" s="86">
        <f t="shared" si="0"/>
        <v>1</v>
      </c>
      <c r="I19" s="6">
        <v>2</v>
      </c>
      <c r="J19" s="6">
        <v>0</v>
      </c>
      <c r="K19" s="6">
        <v>0</v>
      </c>
    </row>
    <row r="20" spans="1:11" x14ac:dyDescent="0.2">
      <c r="A20" s="5">
        <v>39331</v>
      </c>
      <c r="B20" s="6">
        <v>2</v>
      </c>
      <c r="C20" s="8" t="s">
        <v>31</v>
      </c>
      <c r="D20" s="8">
        <v>5</v>
      </c>
      <c r="E20" s="6" t="s">
        <v>13</v>
      </c>
      <c r="F20" s="6">
        <v>2</v>
      </c>
      <c r="G20" s="6">
        <v>2</v>
      </c>
      <c r="H20" s="86">
        <f t="shared" si="0"/>
        <v>1</v>
      </c>
      <c r="I20" s="6">
        <v>4</v>
      </c>
      <c r="J20" s="6">
        <v>0</v>
      </c>
      <c r="K20" s="6">
        <v>0</v>
      </c>
    </row>
    <row r="21" spans="1:11" x14ac:dyDescent="0.2">
      <c r="A21" s="5">
        <v>39338</v>
      </c>
      <c r="B21" s="6">
        <v>3</v>
      </c>
      <c r="C21" s="8" t="s">
        <v>31</v>
      </c>
      <c r="D21" s="8">
        <v>5</v>
      </c>
      <c r="E21" s="6" t="s">
        <v>13</v>
      </c>
      <c r="F21" s="6">
        <v>2</v>
      </c>
      <c r="G21" s="6">
        <v>5</v>
      </c>
      <c r="H21" s="86">
        <f t="shared" si="0"/>
        <v>2.5</v>
      </c>
      <c r="I21" s="6">
        <v>5</v>
      </c>
      <c r="J21" s="6">
        <v>5</v>
      </c>
      <c r="K21" s="6">
        <v>0</v>
      </c>
    </row>
    <row r="22" spans="1:11" x14ac:dyDescent="0.2">
      <c r="A22" s="5">
        <v>39345</v>
      </c>
      <c r="B22" s="6">
        <v>4</v>
      </c>
      <c r="C22" s="8" t="s">
        <v>31</v>
      </c>
      <c r="D22" s="8">
        <v>5</v>
      </c>
      <c r="E22" s="6" t="s">
        <v>13</v>
      </c>
      <c r="F22" s="6">
        <v>2</v>
      </c>
      <c r="G22" s="6">
        <v>2</v>
      </c>
      <c r="H22" s="86">
        <f t="shared" si="0"/>
        <v>1</v>
      </c>
      <c r="I22" s="6">
        <v>1</v>
      </c>
      <c r="J22" s="6">
        <v>0</v>
      </c>
      <c r="K22" s="6">
        <v>0</v>
      </c>
    </row>
    <row r="23" spans="1:11" x14ac:dyDescent="0.2">
      <c r="A23" s="5">
        <v>39352</v>
      </c>
      <c r="B23" s="6">
        <v>5</v>
      </c>
      <c r="C23" s="8" t="s">
        <v>31</v>
      </c>
      <c r="D23" s="8">
        <v>5</v>
      </c>
      <c r="E23" s="6" t="s">
        <v>13</v>
      </c>
      <c r="F23" s="6">
        <v>2</v>
      </c>
      <c r="G23" s="6">
        <v>0</v>
      </c>
      <c r="H23" s="86">
        <f t="shared" si="0"/>
        <v>0</v>
      </c>
      <c r="I23" s="6">
        <v>0</v>
      </c>
      <c r="J23" s="6">
        <v>0</v>
      </c>
      <c r="K23" s="6">
        <v>0</v>
      </c>
    </row>
    <row r="24" spans="1:11" x14ac:dyDescent="0.2">
      <c r="A24" s="5">
        <v>39323</v>
      </c>
      <c r="B24" s="6">
        <v>1</v>
      </c>
      <c r="C24" s="8" t="s">
        <v>32</v>
      </c>
      <c r="D24" s="8">
        <v>6</v>
      </c>
      <c r="E24" s="6" t="s">
        <v>14</v>
      </c>
      <c r="F24" s="6">
        <v>4</v>
      </c>
      <c r="G24" s="6">
        <v>3</v>
      </c>
      <c r="H24" s="86">
        <f t="shared" si="0"/>
        <v>0.75</v>
      </c>
      <c r="I24" s="6">
        <v>0</v>
      </c>
      <c r="J24" s="6">
        <v>0</v>
      </c>
      <c r="K24" s="6">
        <v>0</v>
      </c>
    </row>
    <row r="25" spans="1:11" x14ac:dyDescent="0.2">
      <c r="A25" s="5">
        <v>39331</v>
      </c>
      <c r="B25" s="6">
        <v>2</v>
      </c>
      <c r="C25" s="8" t="s">
        <v>32</v>
      </c>
      <c r="D25" s="8">
        <v>6</v>
      </c>
      <c r="E25" s="6" t="s">
        <v>14</v>
      </c>
      <c r="F25" s="6">
        <v>4</v>
      </c>
      <c r="G25" s="6">
        <v>5</v>
      </c>
      <c r="H25" s="86">
        <f t="shared" si="0"/>
        <v>1.25</v>
      </c>
      <c r="I25" s="6">
        <v>6</v>
      </c>
      <c r="J25" s="6">
        <v>0</v>
      </c>
      <c r="K25" s="6">
        <v>0</v>
      </c>
    </row>
    <row r="26" spans="1:11" x14ac:dyDescent="0.2">
      <c r="A26" s="5">
        <v>39338</v>
      </c>
      <c r="B26" s="6">
        <v>3</v>
      </c>
      <c r="C26" s="8" t="s">
        <v>32</v>
      </c>
      <c r="D26" s="8">
        <v>6</v>
      </c>
      <c r="E26" s="6" t="s">
        <v>14</v>
      </c>
      <c r="F26" s="6">
        <v>4</v>
      </c>
      <c r="G26" s="6">
        <v>2</v>
      </c>
      <c r="H26" s="86">
        <f t="shared" si="0"/>
        <v>0.5</v>
      </c>
      <c r="I26" s="6">
        <v>3</v>
      </c>
      <c r="J26" s="6">
        <v>2</v>
      </c>
      <c r="K26" s="6">
        <v>1</v>
      </c>
    </row>
    <row r="27" spans="1:11" x14ac:dyDescent="0.2">
      <c r="A27" s="5">
        <v>39345</v>
      </c>
      <c r="B27" s="6">
        <v>4</v>
      </c>
      <c r="C27" s="8" t="s">
        <v>32</v>
      </c>
      <c r="D27" s="8">
        <v>6</v>
      </c>
      <c r="E27" s="6" t="s">
        <v>14</v>
      </c>
      <c r="F27" s="6">
        <v>4</v>
      </c>
      <c r="G27" s="6">
        <v>3</v>
      </c>
      <c r="H27" s="86">
        <f t="shared" si="0"/>
        <v>0.75</v>
      </c>
      <c r="I27" s="6">
        <v>4</v>
      </c>
      <c r="J27" s="6">
        <v>0</v>
      </c>
      <c r="K27" s="6">
        <v>0</v>
      </c>
    </row>
    <row r="28" spans="1:11" x14ac:dyDescent="0.2">
      <c r="A28" s="5">
        <v>39352</v>
      </c>
      <c r="B28" s="6">
        <v>5</v>
      </c>
      <c r="C28" s="8" t="s">
        <v>32</v>
      </c>
      <c r="D28" s="8">
        <v>6</v>
      </c>
      <c r="E28" s="6" t="s">
        <v>14</v>
      </c>
      <c r="F28" s="6">
        <v>4</v>
      </c>
      <c r="G28" s="6">
        <v>0</v>
      </c>
      <c r="H28" s="86">
        <f t="shared" si="0"/>
        <v>0</v>
      </c>
      <c r="I28" s="6">
        <v>0</v>
      </c>
      <c r="J28" s="6">
        <v>1</v>
      </c>
      <c r="K28" s="6">
        <v>0</v>
      </c>
    </row>
    <row r="29" spans="1:11" x14ac:dyDescent="0.2">
      <c r="A29" s="5">
        <v>39323</v>
      </c>
      <c r="B29" s="6">
        <v>1</v>
      </c>
      <c r="C29" s="8" t="s">
        <v>33</v>
      </c>
      <c r="D29" s="8">
        <v>7</v>
      </c>
      <c r="E29" s="6" t="s">
        <v>15</v>
      </c>
      <c r="F29" s="6">
        <v>3</v>
      </c>
      <c r="G29" s="6">
        <v>0</v>
      </c>
      <c r="H29" s="86">
        <f t="shared" si="0"/>
        <v>0</v>
      </c>
      <c r="I29" s="6">
        <v>0</v>
      </c>
      <c r="J29" s="6">
        <v>0</v>
      </c>
      <c r="K29" s="6">
        <v>0</v>
      </c>
    </row>
    <row r="30" spans="1:11" x14ac:dyDescent="0.2">
      <c r="A30" s="5">
        <v>39331</v>
      </c>
      <c r="B30" s="6">
        <v>2</v>
      </c>
      <c r="C30" s="8" t="s">
        <v>33</v>
      </c>
      <c r="D30" s="8">
        <v>7</v>
      </c>
      <c r="E30" s="6" t="s">
        <v>15</v>
      </c>
      <c r="F30" s="6">
        <v>3</v>
      </c>
      <c r="G30" s="6">
        <v>1</v>
      </c>
      <c r="H30" s="86">
        <f t="shared" si="0"/>
        <v>0.33333333333333331</v>
      </c>
      <c r="I30" s="6">
        <v>2</v>
      </c>
      <c r="J30" s="6">
        <v>0</v>
      </c>
      <c r="K30" s="6">
        <v>0</v>
      </c>
    </row>
    <row r="31" spans="1:11" x14ac:dyDescent="0.2">
      <c r="A31" s="5">
        <v>39338</v>
      </c>
      <c r="B31" s="6">
        <v>3</v>
      </c>
      <c r="C31" s="8" t="s">
        <v>33</v>
      </c>
      <c r="D31" s="8">
        <v>7</v>
      </c>
      <c r="E31" s="6" t="s">
        <v>15</v>
      </c>
      <c r="F31" s="6">
        <v>3</v>
      </c>
      <c r="G31" s="6">
        <v>2</v>
      </c>
      <c r="H31" s="86">
        <f t="shared" si="0"/>
        <v>0.66666666666666663</v>
      </c>
      <c r="I31" s="6">
        <v>1</v>
      </c>
      <c r="J31" s="6">
        <v>1</v>
      </c>
      <c r="K31" s="6">
        <v>0</v>
      </c>
    </row>
    <row r="32" spans="1:11" x14ac:dyDescent="0.2">
      <c r="A32" s="5">
        <v>39345</v>
      </c>
      <c r="B32" s="6">
        <v>4</v>
      </c>
      <c r="C32" s="8" t="s">
        <v>33</v>
      </c>
      <c r="D32" s="8">
        <v>7</v>
      </c>
      <c r="E32" s="6" t="s">
        <v>15</v>
      </c>
      <c r="F32" s="6">
        <v>3</v>
      </c>
      <c r="G32" s="6">
        <v>0</v>
      </c>
      <c r="H32" s="86">
        <f t="shared" si="0"/>
        <v>0</v>
      </c>
      <c r="I32" s="6">
        <v>0</v>
      </c>
      <c r="J32" s="6">
        <v>1</v>
      </c>
      <c r="K32" s="6">
        <v>0</v>
      </c>
    </row>
    <row r="33" spans="1:11" x14ac:dyDescent="0.2">
      <c r="A33" s="5">
        <v>39323</v>
      </c>
      <c r="B33" s="6">
        <v>1</v>
      </c>
      <c r="C33" s="8" t="s">
        <v>34</v>
      </c>
      <c r="D33" s="8">
        <v>8</v>
      </c>
      <c r="E33" s="6" t="s">
        <v>16</v>
      </c>
      <c r="F33" s="6">
        <v>3</v>
      </c>
      <c r="G33" s="6">
        <v>1</v>
      </c>
      <c r="H33" s="86">
        <f t="shared" si="0"/>
        <v>0.33333333333333331</v>
      </c>
      <c r="I33" s="6">
        <v>3</v>
      </c>
      <c r="J33" s="6">
        <v>0</v>
      </c>
      <c r="K33" s="6">
        <v>0</v>
      </c>
    </row>
    <row r="34" spans="1:11" x14ac:dyDescent="0.2">
      <c r="A34" s="5">
        <v>39331</v>
      </c>
      <c r="B34" s="6">
        <v>2</v>
      </c>
      <c r="C34" s="8" t="s">
        <v>34</v>
      </c>
      <c r="D34" s="8">
        <v>8</v>
      </c>
      <c r="E34" s="6" t="s">
        <v>16</v>
      </c>
      <c r="F34" s="6">
        <v>3</v>
      </c>
      <c r="G34" s="6">
        <v>5</v>
      </c>
      <c r="H34" s="86">
        <f t="shared" si="0"/>
        <v>1.6666666666666667</v>
      </c>
      <c r="I34" s="6">
        <v>7</v>
      </c>
      <c r="J34" s="6">
        <v>5</v>
      </c>
      <c r="K34" s="6">
        <v>0</v>
      </c>
    </row>
    <row r="35" spans="1:11" x14ac:dyDescent="0.2">
      <c r="A35" s="5">
        <v>39338</v>
      </c>
      <c r="B35" s="6">
        <v>3</v>
      </c>
      <c r="C35" s="8" t="s">
        <v>34</v>
      </c>
      <c r="D35" s="8">
        <v>8</v>
      </c>
      <c r="E35" s="6" t="s">
        <v>16</v>
      </c>
      <c r="F35" s="6">
        <v>3</v>
      </c>
      <c r="G35" s="6">
        <v>15</v>
      </c>
      <c r="H35" s="86">
        <f t="shared" si="0"/>
        <v>5</v>
      </c>
      <c r="I35" s="6">
        <v>25</v>
      </c>
      <c r="J35" s="6">
        <v>4</v>
      </c>
      <c r="K35" s="6">
        <v>1</v>
      </c>
    </row>
    <row r="36" spans="1:11" x14ac:dyDescent="0.2">
      <c r="A36" s="5">
        <v>39345</v>
      </c>
      <c r="B36" s="6">
        <v>4</v>
      </c>
      <c r="C36" s="8" t="s">
        <v>34</v>
      </c>
      <c r="D36" s="8">
        <v>8</v>
      </c>
      <c r="E36" s="6" t="s">
        <v>16</v>
      </c>
      <c r="F36" s="6">
        <v>3</v>
      </c>
      <c r="G36" s="6">
        <v>5</v>
      </c>
      <c r="H36" s="86">
        <f t="shared" si="0"/>
        <v>1.6666666666666667</v>
      </c>
      <c r="I36" s="6">
        <v>5</v>
      </c>
      <c r="J36" s="6">
        <v>2</v>
      </c>
      <c r="K36" s="6">
        <v>2</v>
      </c>
    </row>
    <row r="37" spans="1:11" x14ac:dyDescent="0.2">
      <c r="A37" s="5">
        <v>39352</v>
      </c>
      <c r="B37" s="6">
        <v>5</v>
      </c>
      <c r="C37" s="8" t="s">
        <v>34</v>
      </c>
      <c r="D37" s="8">
        <v>8</v>
      </c>
      <c r="E37" s="6" t="s">
        <v>16</v>
      </c>
      <c r="F37" s="6">
        <v>3</v>
      </c>
      <c r="G37" s="6">
        <v>1</v>
      </c>
      <c r="H37" s="86">
        <f t="shared" si="0"/>
        <v>0.33333333333333331</v>
      </c>
      <c r="I37" s="6">
        <v>0</v>
      </c>
      <c r="J37" s="6">
        <v>1</v>
      </c>
      <c r="K37" s="6">
        <v>1</v>
      </c>
    </row>
    <row r="38" spans="1:11" x14ac:dyDescent="0.2">
      <c r="A38" s="5">
        <v>39323</v>
      </c>
      <c r="B38" s="6">
        <v>1</v>
      </c>
      <c r="C38" s="8" t="s">
        <v>35</v>
      </c>
      <c r="D38" s="8">
        <v>9</v>
      </c>
      <c r="E38" s="6" t="s">
        <v>17</v>
      </c>
      <c r="F38" s="6">
        <v>4</v>
      </c>
      <c r="G38" s="6">
        <v>0</v>
      </c>
      <c r="H38" s="86">
        <f t="shared" si="0"/>
        <v>0</v>
      </c>
      <c r="I38" s="6">
        <v>0</v>
      </c>
      <c r="J38" s="6">
        <v>0</v>
      </c>
      <c r="K38" s="6">
        <v>0</v>
      </c>
    </row>
    <row r="39" spans="1:11" x14ac:dyDescent="0.2">
      <c r="A39" s="5">
        <v>39331</v>
      </c>
      <c r="B39" s="6">
        <v>2</v>
      </c>
      <c r="C39" s="8" t="s">
        <v>35</v>
      </c>
      <c r="D39" s="8">
        <v>9</v>
      </c>
      <c r="E39" s="6" t="s">
        <v>17</v>
      </c>
      <c r="F39" s="6">
        <v>4</v>
      </c>
      <c r="G39" s="6">
        <v>4</v>
      </c>
      <c r="H39" s="86">
        <f t="shared" si="0"/>
        <v>1</v>
      </c>
      <c r="I39" s="6">
        <v>4</v>
      </c>
      <c r="J39" s="6">
        <v>0</v>
      </c>
      <c r="K39" s="6">
        <v>0</v>
      </c>
    </row>
    <row r="40" spans="1:11" x14ac:dyDescent="0.2">
      <c r="A40" s="5">
        <v>39338</v>
      </c>
      <c r="B40" s="6">
        <v>3</v>
      </c>
      <c r="C40" s="8" t="s">
        <v>35</v>
      </c>
      <c r="D40" s="8">
        <v>9</v>
      </c>
      <c r="E40" s="6" t="s">
        <v>17</v>
      </c>
      <c r="F40" s="6">
        <v>4</v>
      </c>
      <c r="G40" s="6">
        <v>9</v>
      </c>
      <c r="H40" s="86">
        <f t="shared" si="0"/>
        <v>2.25</v>
      </c>
      <c r="I40" s="6">
        <v>16</v>
      </c>
      <c r="J40" s="6">
        <v>1</v>
      </c>
      <c r="K40" s="6">
        <v>0</v>
      </c>
    </row>
    <row r="41" spans="1:11" x14ac:dyDescent="0.2">
      <c r="A41" s="5">
        <v>39345</v>
      </c>
      <c r="B41" s="6">
        <v>4</v>
      </c>
      <c r="C41" s="8" t="s">
        <v>35</v>
      </c>
      <c r="D41" s="8">
        <v>9</v>
      </c>
      <c r="E41" s="6" t="s">
        <v>17</v>
      </c>
      <c r="F41" s="6">
        <v>4</v>
      </c>
      <c r="G41" s="6">
        <v>2</v>
      </c>
      <c r="H41" s="86">
        <f t="shared" si="0"/>
        <v>0.5</v>
      </c>
      <c r="I41" s="6">
        <v>1</v>
      </c>
      <c r="J41" s="6">
        <v>0</v>
      </c>
      <c r="K41" s="6">
        <v>1</v>
      </c>
    </row>
    <row r="42" spans="1:11" x14ac:dyDescent="0.2">
      <c r="A42" s="5">
        <v>39352</v>
      </c>
      <c r="B42" s="6">
        <v>5</v>
      </c>
      <c r="C42" s="8" t="s">
        <v>35</v>
      </c>
      <c r="D42" s="8">
        <v>9</v>
      </c>
      <c r="E42" s="6" t="s">
        <v>17</v>
      </c>
      <c r="F42" s="6">
        <v>4</v>
      </c>
      <c r="G42" s="6">
        <v>0</v>
      </c>
      <c r="H42" s="86">
        <f t="shared" si="0"/>
        <v>0</v>
      </c>
      <c r="I42" s="6">
        <v>0</v>
      </c>
      <c r="J42" s="6">
        <v>0</v>
      </c>
      <c r="K42" s="6">
        <v>0</v>
      </c>
    </row>
    <row r="43" spans="1:11" x14ac:dyDescent="0.2">
      <c r="A43" s="5">
        <v>39331</v>
      </c>
      <c r="B43" s="6">
        <v>1</v>
      </c>
      <c r="C43" s="8" t="s">
        <v>36</v>
      </c>
      <c r="D43" s="8">
        <v>10</v>
      </c>
      <c r="E43" s="6" t="s">
        <v>18</v>
      </c>
      <c r="F43" s="6">
        <v>5</v>
      </c>
      <c r="G43" s="6">
        <v>2</v>
      </c>
      <c r="H43" s="86">
        <f t="shared" si="0"/>
        <v>0.4</v>
      </c>
      <c r="I43" s="6">
        <v>1</v>
      </c>
      <c r="J43" s="6">
        <v>0</v>
      </c>
      <c r="K43" s="6">
        <v>0</v>
      </c>
    </row>
    <row r="44" spans="1:11" x14ac:dyDescent="0.2">
      <c r="A44" s="5">
        <v>39338</v>
      </c>
      <c r="B44" s="6">
        <v>2</v>
      </c>
      <c r="C44" s="8" t="s">
        <v>36</v>
      </c>
      <c r="D44" s="8">
        <v>10</v>
      </c>
      <c r="E44" s="6" t="s">
        <v>18</v>
      </c>
      <c r="F44" s="6">
        <v>5</v>
      </c>
      <c r="G44" s="6">
        <v>2</v>
      </c>
      <c r="H44" s="86">
        <f t="shared" si="0"/>
        <v>0.4</v>
      </c>
      <c r="I44" s="6">
        <v>7</v>
      </c>
      <c r="J44" s="6">
        <v>0</v>
      </c>
      <c r="K44" s="6">
        <v>0</v>
      </c>
    </row>
    <row r="45" spans="1:11" x14ac:dyDescent="0.2">
      <c r="A45" s="5">
        <v>39345</v>
      </c>
      <c r="B45" s="6">
        <v>3</v>
      </c>
      <c r="C45" s="8" t="s">
        <v>36</v>
      </c>
      <c r="D45" s="8">
        <v>10</v>
      </c>
      <c r="E45" s="6" t="s">
        <v>18</v>
      </c>
      <c r="F45" s="6">
        <v>5</v>
      </c>
      <c r="G45" s="6">
        <v>1</v>
      </c>
      <c r="H45" s="86">
        <f t="shared" si="0"/>
        <v>0.2</v>
      </c>
      <c r="I45" s="6">
        <v>1</v>
      </c>
      <c r="J45" s="6">
        <v>0</v>
      </c>
      <c r="K45" s="6">
        <v>1</v>
      </c>
    </row>
    <row r="46" spans="1:11" x14ac:dyDescent="0.2">
      <c r="A46" s="5">
        <v>39352</v>
      </c>
      <c r="B46" s="6">
        <v>5</v>
      </c>
      <c r="C46" s="8" t="s">
        <v>36</v>
      </c>
      <c r="D46" s="8">
        <v>10</v>
      </c>
      <c r="E46" s="6" t="s">
        <v>18</v>
      </c>
      <c r="F46" s="6">
        <v>5</v>
      </c>
      <c r="G46" s="6">
        <v>0</v>
      </c>
      <c r="H46" s="86">
        <f t="shared" si="0"/>
        <v>0</v>
      </c>
      <c r="I46" s="6">
        <v>0</v>
      </c>
      <c r="J46" s="6">
        <v>0</v>
      </c>
      <c r="K46" s="6">
        <v>1</v>
      </c>
    </row>
    <row r="47" spans="1:11" x14ac:dyDescent="0.2">
      <c r="A47" s="5">
        <v>39331</v>
      </c>
      <c r="B47" s="6">
        <v>1</v>
      </c>
      <c r="C47" s="8" t="s">
        <v>37</v>
      </c>
      <c r="D47" s="8">
        <v>11</v>
      </c>
      <c r="E47" s="6" t="s">
        <v>19</v>
      </c>
      <c r="F47" s="6">
        <v>4</v>
      </c>
      <c r="G47" s="6">
        <v>0</v>
      </c>
      <c r="H47" s="86">
        <f t="shared" si="0"/>
        <v>0</v>
      </c>
      <c r="I47" s="6">
        <v>0</v>
      </c>
      <c r="J47" s="6">
        <v>0</v>
      </c>
      <c r="K47" s="6">
        <v>0</v>
      </c>
    </row>
    <row r="48" spans="1:11" x14ac:dyDescent="0.2">
      <c r="A48" s="5">
        <v>39345</v>
      </c>
      <c r="B48" s="6">
        <v>3</v>
      </c>
      <c r="C48" s="8" t="s">
        <v>37</v>
      </c>
      <c r="D48" s="8">
        <v>11</v>
      </c>
      <c r="E48" s="6" t="s">
        <v>19</v>
      </c>
      <c r="F48" s="6">
        <v>4</v>
      </c>
      <c r="G48" s="6">
        <v>0</v>
      </c>
      <c r="H48" s="86">
        <f t="shared" si="0"/>
        <v>0</v>
      </c>
      <c r="I48" s="6">
        <v>0</v>
      </c>
      <c r="J48" s="6">
        <v>1</v>
      </c>
      <c r="K48" s="6">
        <v>0</v>
      </c>
    </row>
    <row r="49" spans="1:11" x14ac:dyDescent="0.2">
      <c r="A49" s="5">
        <v>39352</v>
      </c>
      <c r="B49" s="6">
        <v>5</v>
      </c>
      <c r="C49" s="8" t="s">
        <v>37</v>
      </c>
      <c r="D49" s="8">
        <v>11</v>
      </c>
      <c r="E49" s="6" t="s">
        <v>19</v>
      </c>
      <c r="F49" s="6">
        <v>4</v>
      </c>
      <c r="G49" s="6">
        <v>0</v>
      </c>
      <c r="H49" s="86">
        <f t="shared" si="0"/>
        <v>0</v>
      </c>
      <c r="I49" s="6">
        <v>0</v>
      </c>
      <c r="J49" s="6">
        <v>0</v>
      </c>
      <c r="K49" s="6">
        <v>0</v>
      </c>
    </row>
    <row r="50" spans="1:11" ht="13.5" thickBot="1" x14ac:dyDescent="0.25">
      <c r="A50" s="5">
        <v>39331</v>
      </c>
      <c r="B50" s="6">
        <v>1</v>
      </c>
      <c r="C50" s="8" t="s">
        <v>38</v>
      </c>
      <c r="D50" s="8">
        <v>12</v>
      </c>
      <c r="E50" s="6" t="s">
        <v>20</v>
      </c>
      <c r="F50" s="80">
        <v>3</v>
      </c>
      <c r="G50" s="80">
        <v>0</v>
      </c>
      <c r="H50" s="87">
        <f t="shared" si="0"/>
        <v>0</v>
      </c>
      <c r="I50" s="80">
        <v>0</v>
      </c>
      <c r="J50" s="80">
        <v>0</v>
      </c>
      <c r="K50" s="80">
        <v>0</v>
      </c>
    </row>
    <row r="51" spans="1:11" x14ac:dyDescent="0.2">
      <c r="F51" s="3">
        <f>SUM(F4:F50)</f>
        <v>168</v>
      </c>
      <c r="G51" s="3">
        <f>SUM(G4:G50)</f>
        <v>92</v>
      </c>
      <c r="H51" s="88">
        <f t="shared" si="0"/>
        <v>0.54761904761904767</v>
      </c>
      <c r="I51" s="3">
        <f t="shared" ref="I51:K51" si="1">SUM(I4:I50)</f>
        <v>135</v>
      </c>
      <c r="J51" s="3">
        <f t="shared" si="1"/>
        <v>30</v>
      </c>
      <c r="K51" s="3">
        <f t="shared" si="1"/>
        <v>9</v>
      </c>
    </row>
  </sheetData>
  <sortState xmlns:xlrd2="http://schemas.microsoft.com/office/spreadsheetml/2017/richdata2" ref="A4:K50">
    <sortCondition ref="D4:D50"/>
  </sortState>
  <phoneticPr fontId="0" type="noConversion"/>
  <pageMargins left="0.75" right="0.75" top="1" bottom="1" header="0.5" footer="0.5"/>
  <pageSetup orientation="portrait" r:id="rId1"/>
  <headerFooter alignWithMargins="0"/>
  <ignoredErrors>
    <ignoredError sqref="H51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42"/>
  <sheetViews>
    <sheetView workbookViewId="0">
      <selection activeCell="G15" sqref="G15:G30"/>
    </sheetView>
  </sheetViews>
  <sheetFormatPr defaultRowHeight="12.75" x14ac:dyDescent="0.2"/>
  <cols>
    <col min="5" max="5" width="29.140625" bestFit="1" customWidth="1"/>
  </cols>
  <sheetData>
    <row r="1" spans="1:11" x14ac:dyDescent="0.2">
      <c r="A1" s="2"/>
      <c r="B1" s="2"/>
      <c r="C1" s="2" t="s">
        <v>25</v>
      </c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1" x14ac:dyDescent="0.2">
      <c r="A2" s="2" t="s">
        <v>0</v>
      </c>
      <c r="B2" s="2" t="s">
        <v>1</v>
      </c>
      <c r="C2" s="2" t="s">
        <v>26</v>
      </c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1" ht="13.5" thickBot="1" x14ac:dyDescent="0.25">
      <c r="A3" s="1"/>
      <c r="I3" s="1"/>
      <c r="J3" s="4" t="s">
        <v>6</v>
      </c>
      <c r="K3" s="4" t="s">
        <v>7</v>
      </c>
    </row>
    <row r="4" spans="1:11" x14ac:dyDescent="0.2">
      <c r="A4" s="5">
        <v>39334</v>
      </c>
      <c r="B4" s="6">
        <v>1</v>
      </c>
      <c r="C4" s="8" t="s">
        <v>27</v>
      </c>
      <c r="D4" s="8">
        <v>1</v>
      </c>
      <c r="E4" s="6" t="s">
        <v>9</v>
      </c>
      <c r="F4" s="6">
        <v>6</v>
      </c>
      <c r="G4" s="6">
        <v>0</v>
      </c>
      <c r="H4" s="86">
        <f>G4/F4</f>
        <v>0</v>
      </c>
      <c r="I4" s="6">
        <v>0</v>
      </c>
      <c r="J4" s="6">
        <v>0</v>
      </c>
      <c r="K4" s="6">
        <v>0</v>
      </c>
    </row>
    <row r="5" spans="1:11" x14ac:dyDescent="0.2">
      <c r="A5" s="5">
        <v>39334</v>
      </c>
      <c r="B5" s="6">
        <v>1</v>
      </c>
      <c r="C5" s="8" t="s">
        <v>28</v>
      </c>
      <c r="D5" s="8">
        <v>2</v>
      </c>
      <c r="E5" s="6" t="s">
        <v>10</v>
      </c>
      <c r="F5" s="6">
        <v>3</v>
      </c>
      <c r="G5" s="6">
        <v>1</v>
      </c>
      <c r="H5" s="86">
        <f t="shared" ref="H5:H39" si="0">G5/F5</f>
        <v>0.33333333333333331</v>
      </c>
      <c r="I5" s="6">
        <v>0</v>
      </c>
      <c r="J5" s="6">
        <v>0</v>
      </c>
      <c r="K5" s="6">
        <v>0</v>
      </c>
    </row>
    <row r="6" spans="1:11" x14ac:dyDescent="0.2">
      <c r="A6" s="5">
        <v>39334</v>
      </c>
      <c r="B6" s="6">
        <v>1</v>
      </c>
      <c r="C6" s="8" t="s">
        <v>29</v>
      </c>
      <c r="D6" s="8">
        <v>3</v>
      </c>
      <c r="E6" s="6" t="s">
        <v>11</v>
      </c>
      <c r="F6" s="6">
        <v>2</v>
      </c>
      <c r="G6" s="6">
        <v>0</v>
      </c>
      <c r="H6" s="86">
        <f t="shared" si="0"/>
        <v>0</v>
      </c>
      <c r="I6" s="6">
        <v>0</v>
      </c>
      <c r="J6" s="6">
        <v>0</v>
      </c>
      <c r="K6" s="6">
        <v>0</v>
      </c>
    </row>
    <row r="7" spans="1:11" x14ac:dyDescent="0.2">
      <c r="A7" s="5">
        <v>39334</v>
      </c>
      <c r="B7" s="6">
        <v>1</v>
      </c>
      <c r="C7" s="8" t="s">
        <v>30</v>
      </c>
      <c r="D7" s="8">
        <v>4</v>
      </c>
      <c r="E7" s="6" t="s">
        <v>12</v>
      </c>
      <c r="F7" s="6">
        <v>5</v>
      </c>
      <c r="G7" s="6">
        <v>1</v>
      </c>
      <c r="H7" s="86">
        <f t="shared" si="0"/>
        <v>0.2</v>
      </c>
      <c r="I7" s="6">
        <v>1</v>
      </c>
      <c r="J7" s="6">
        <v>0</v>
      </c>
      <c r="K7" s="6">
        <v>0</v>
      </c>
    </row>
    <row r="8" spans="1:11" x14ac:dyDescent="0.2">
      <c r="A8" s="5">
        <v>39335</v>
      </c>
      <c r="B8" s="6">
        <v>1</v>
      </c>
      <c r="C8" s="8" t="s">
        <v>31</v>
      </c>
      <c r="D8" s="8">
        <v>5</v>
      </c>
      <c r="E8" s="6" t="s">
        <v>13</v>
      </c>
      <c r="F8" s="6">
        <v>2</v>
      </c>
      <c r="G8" s="6">
        <v>0</v>
      </c>
      <c r="H8" s="86">
        <f t="shared" si="0"/>
        <v>0</v>
      </c>
      <c r="I8" s="6">
        <v>0</v>
      </c>
      <c r="J8" s="6">
        <v>0</v>
      </c>
      <c r="K8" s="6">
        <v>0</v>
      </c>
    </row>
    <row r="9" spans="1:11" x14ac:dyDescent="0.2">
      <c r="A9" s="5">
        <v>39335</v>
      </c>
      <c r="B9" s="6">
        <v>1</v>
      </c>
      <c r="C9" s="8" t="s">
        <v>32</v>
      </c>
      <c r="D9" s="8">
        <v>6</v>
      </c>
      <c r="E9" s="6" t="s">
        <v>14</v>
      </c>
      <c r="F9" s="6">
        <v>4</v>
      </c>
      <c r="G9" s="6">
        <v>0</v>
      </c>
      <c r="H9" s="86">
        <f t="shared" si="0"/>
        <v>0</v>
      </c>
      <c r="I9" s="6">
        <v>0</v>
      </c>
      <c r="J9" s="6">
        <v>0</v>
      </c>
      <c r="K9" s="6">
        <v>0</v>
      </c>
    </row>
    <row r="10" spans="1:11" x14ac:dyDescent="0.2">
      <c r="A10" s="5">
        <v>39335</v>
      </c>
      <c r="B10" s="6">
        <v>1</v>
      </c>
      <c r="C10" s="8" t="s">
        <v>33</v>
      </c>
      <c r="D10" s="8">
        <v>7</v>
      </c>
      <c r="E10" s="6" t="s">
        <v>15</v>
      </c>
      <c r="F10" s="6">
        <v>3</v>
      </c>
      <c r="G10" s="6">
        <v>1</v>
      </c>
      <c r="H10" s="86">
        <f t="shared" si="0"/>
        <v>0.33333333333333331</v>
      </c>
      <c r="I10" s="6">
        <v>0</v>
      </c>
      <c r="J10" s="6">
        <v>0</v>
      </c>
      <c r="K10" s="6">
        <v>0</v>
      </c>
    </row>
    <row r="11" spans="1:11" x14ac:dyDescent="0.2">
      <c r="A11" s="5">
        <v>39326</v>
      </c>
      <c r="B11" s="6">
        <v>1</v>
      </c>
      <c r="C11" s="8" t="s">
        <v>34</v>
      </c>
      <c r="D11" s="8">
        <v>8</v>
      </c>
      <c r="E11" s="6" t="s">
        <v>16</v>
      </c>
      <c r="F11" s="6">
        <v>3</v>
      </c>
      <c r="G11" s="6">
        <v>2</v>
      </c>
      <c r="H11" s="86">
        <f t="shared" si="0"/>
        <v>0.66666666666666663</v>
      </c>
      <c r="I11" s="6">
        <v>2</v>
      </c>
      <c r="J11" s="6">
        <v>1</v>
      </c>
      <c r="K11" s="6">
        <v>0</v>
      </c>
    </row>
    <row r="12" spans="1:11" x14ac:dyDescent="0.2">
      <c r="A12" s="5">
        <v>39333</v>
      </c>
      <c r="B12" s="6">
        <v>2</v>
      </c>
      <c r="C12" s="8" t="s">
        <v>34</v>
      </c>
      <c r="D12" s="8">
        <v>8</v>
      </c>
      <c r="E12" s="6" t="s">
        <v>16</v>
      </c>
      <c r="F12" s="6">
        <v>3</v>
      </c>
      <c r="G12" s="6">
        <v>7</v>
      </c>
      <c r="H12" s="86">
        <f t="shared" si="0"/>
        <v>2.3333333333333335</v>
      </c>
      <c r="I12" s="6">
        <v>13</v>
      </c>
      <c r="J12" s="6">
        <v>0</v>
      </c>
      <c r="K12" s="6">
        <v>0</v>
      </c>
    </row>
    <row r="13" spans="1:11" x14ac:dyDescent="0.2">
      <c r="A13" s="5">
        <v>39341</v>
      </c>
      <c r="B13" s="6">
        <v>3</v>
      </c>
      <c r="C13" s="8" t="s">
        <v>34</v>
      </c>
      <c r="D13" s="8">
        <v>8</v>
      </c>
      <c r="E13" s="6" t="s">
        <v>16</v>
      </c>
      <c r="F13" s="6">
        <v>3</v>
      </c>
      <c r="G13" s="6">
        <v>18</v>
      </c>
      <c r="H13" s="86">
        <f t="shared" si="0"/>
        <v>6</v>
      </c>
      <c r="I13" s="6">
        <v>25</v>
      </c>
      <c r="J13" s="6">
        <v>6</v>
      </c>
      <c r="K13" s="6">
        <v>1</v>
      </c>
    </row>
    <row r="14" spans="1:11" x14ac:dyDescent="0.2">
      <c r="A14" s="5">
        <v>39348</v>
      </c>
      <c r="B14" s="6">
        <v>4</v>
      </c>
      <c r="C14" s="8" t="s">
        <v>34</v>
      </c>
      <c r="D14" s="8">
        <v>8</v>
      </c>
      <c r="E14" s="6" t="s">
        <v>16</v>
      </c>
      <c r="F14" s="6">
        <v>3</v>
      </c>
      <c r="G14" s="6">
        <v>5</v>
      </c>
      <c r="H14" s="86">
        <f t="shared" si="0"/>
        <v>1.6666666666666667</v>
      </c>
      <c r="I14" s="6">
        <v>4</v>
      </c>
      <c r="J14" s="6">
        <v>3</v>
      </c>
      <c r="K14" s="6">
        <v>0</v>
      </c>
    </row>
    <row r="15" spans="1:11" x14ac:dyDescent="0.2">
      <c r="A15" s="5">
        <v>39326</v>
      </c>
      <c r="B15" s="6">
        <v>1</v>
      </c>
      <c r="C15" s="8" t="s">
        <v>35</v>
      </c>
      <c r="D15" s="8">
        <v>9</v>
      </c>
      <c r="E15" s="6" t="s">
        <v>17</v>
      </c>
      <c r="F15" s="6">
        <v>4</v>
      </c>
      <c r="G15" s="6">
        <v>0</v>
      </c>
      <c r="H15" s="86">
        <f t="shared" si="0"/>
        <v>0</v>
      </c>
      <c r="I15" s="6">
        <v>0</v>
      </c>
      <c r="J15" s="6">
        <v>0</v>
      </c>
      <c r="K15" s="6">
        <v>0</v>
      </c>
    </row>
    <row r="16" spans="1:11" x14ac:dyDescent="0.2">
      <c r="A16" s="5">
        <v>39333</v>
      </c>
      <c r="B16" s="6">
        <v>2</v>
      </c>
      <c r="C16" s="8" t="s">
        <v>35</v>
      </c>
      <c r="D16" s="8">
        <v>9</v>
      </c>
      <c r="E16" s="6" t="s">
        <v>17</v>
      </c>
      <c r="F16" s="6">
        <v>4</v>
      </c>
      <c r="G16" s="6">
        <v>2</v>
      </c>
      <c r="H16" s="86">
        <f t="shared" si="0"/>
        <v>0.5</v>
      </c>
      <c r="I16" s="6">
        <v>3</v>
      </c>
      <c r="J16" s="6">
        <v>0</v>
      </c>
      <c r="K16" s="6">
        <v>0</v>
      </c>
    </row>
    <row r="17" spans="1:11" x14ac:dyDescent="0.2">
      <c r="A17" s="5">
        <v>39341</v>
      </c>
      <c r="B17" s="6">
        <v>3</v>
      </c>
      <c r="C17" s="8" t="s">
        <v>35</v>
      </c>
      <c r="D17" s="8">
        <v>9</v>
      </c>
      <c r="E17" s="6" t="s">
        <v>17</v>
      </c>
      <c r="F17" s="6">
        <v>4</v>
      </c>
      <c r="G17" s="6">
        <v>3</v>
      </c>
      <c r="H17" s="86">
        <f t="shared" si="0"/>
        <v>0.75</v>
      </c>
      <c r="I17" s="6">
        <v>5</v>
      </c>
      <c r="J17" s="6">
        <v>1</v>
      </c>
      <c r="K17" s="6">
        <v>0</v>
      </c>
    </row>
    <row r="18" spans="1:11" x14ac:dyDescent="0.2">
      <c r="A18" s="5">
        <v>39348</v>
      </c>
      <c r="B18" s="6">
        <v>4</v>
      </c>
      <c r="C18" s="8" t="s">
        <v>35</v>
      </c>
      <c r="D18" s="8">
        <v>9</v>
      </c>
      <c r="E18" s="6" t="s">
        <v>17</v>
      </c>
      <c r="F18" s="6">
        <v>4</v>
      </c>
      <c r="G18" s="6">
        <v>0</v>
      </c>
      <c r="H18" s="86">
        <f t="shared" si="0"/>
        <v>0</v>
      </c>
      <c r="I18" s="6">
        <v>1</v>
      </c>
      <c r="J18" s="6">
        <v>0</v>
      </c>
      <c r="K18" s="6">
        <v>0</v>
      </c>
    </row>
    <row r="19" spans="1:11" x14ac:dyDescent="0.2">
      <c r="A19" s="5">
        <v>39327</v>
      </c>
      <c r="B19" s="6">
        <v>1</v>
      </c>
      <c r="C19" s="8" t="s">
        <v>36</v>
      </c>
      <c r="D19" s="8">
        <v>10</v>
      </c>
      <c r="E19" s="6" t="s">
        <v>18</v>
      </c>
      <c r="F19" s="6">
        <v>5</v>
      </c>
      <c r="G19" s="6">
        <v>0</v>
      </c>
      <c r="H19" s="86">
        <f t="shared" si="0"/>
        <v>0</v>
      </c>
      <c r="I19" s="6">
        <v>0</v>
      </c>
      <c r="J19" s="6">
        <v>0</v>
      </c>
      <c r="K19" s="6">
        <v>0</v>
      </c>
    </row>
    <row r="20" spans="1:11" x14ac:dyDescent="0.2">
      <c r="A20" s="5">
        <v>39333</v>
      </c>
      <c r="B20" s="6">
        <v>2</v>
      </c>
      <c r="C20" s="8" t="s">
        <v>36</v>
      </c>
      <c r="D20" s="8">
        <v>10</v>
      </c>
      <c r="E20" s="6" t="s">
        <v>18</v>
      </c>
      <c r="F20" s="6">
        <v>5</v>
      </c>
      <c r="G20" s="6">
        <v>0</v>
      </c>
      <c r="H20" s="86">
        <f t="shared" si="0"/>
        <v>0</v>
      </c>
      <c r="I20" s="6">
        <v>0</v>
      </c>
      <c r="J20" s="6">
        <v>0</v>
      </c>
      <c r="K20" s="6">
        <v>0</v>
      </c>
    </row>
    <row r="21" spans="1:11" x14ac:dyDescent="0.2">
      <c r="A21" s="5">
        <v>39341</v>
      </c>
      <c r="B21" s="6">
        <v>3</v>
      </c>
      <c r="C21" s="8" t="s">
        <v>36</v>
      </c>
      <c r="D21" s="8">
        <v>10</v>
      </c>
      <c r="E21" s="6" t="s">
        <v>18</v>
      </c>
      <c r="F21" s="6">
        <v>5</v>
      </c>
      <c r="G21" s="6">
        <v>1</v>
      </c>
      <c r="H21" s="86">
        <f t="shared" si="0"/>
        <v>0.2</v>
      </c>
      <c r="I21" s="6">
        <v>0</v>
      </c>
      <c r="J21" s="6">
        <v>0</v>
      </c>
      <c r="K21" s="6">
        <v>0</v>
      </c>
    </row>
    <row r="22" spans="1:11" x14ac:dyDescent="0.2">
      <c r="A22" s="5">
        <v>39348</v>
      </c>
      <c r="B22" s="6">
        <v>4</v>
      </c>
      <c r="C22" s="8" t="s">
        <v>36</v>
      </c>
      <c r="D22" s="8">
        <v>10</v>
      </c>
      <c r="E22" s="6" t="s">
        <v>18</v>
      </c>
      <c r="F22" s="6">
        <v>5</v>
      </c>
      <c r="G22" s="6">
        <v>0</v>
      </c>
      <c r="H22" s="86">
        <f t="shared" si="0"/>
        <v>0</v>
      </c>
      <c r="I22" s="6">
        <v>0</v>
      </c>
      <c r="J22" s="6">
        <v>0</v>
      </c>
      <c r="K22" s="6">
        <v>0</v>
      </c>
    </row>
    <row r="23" spans="1:11" x14ac:dyDescent="0.2">
      <c r="A23" s="5">
        <v>39327</v>
      </c>
      <c r="B23" s="6">
        <v>1</v>
      </c>
      <c r="C23" s="8" t="s">
        <v>37</v>
      </c>
      <c r="D23" s="8">
        <v>11</v>
      </c>
      <c r="E23" s="6" t="s">
        <v>19</v>
      </c>
      <c r="F23" s="6">
        <v>4</v>
      </c>
      <c r="G23" s="6">
        <v>0</v>
      </c>
      <c r="H23" s="86">
        <f t="shared" si="0"/>
        <v>0</v>
      </c>
      <c r="I23" s="6">
        <v>0</v>
      </c>
      <c r="J23" s="6">
        <v>0</v>
      </c>
      <c r="K23" s="6">
        <v>0</v>
      </c>
    </row>
    <row r="24" spans="1:11" x14ac:dyDescent="0.2">
      <c r="A24" s="5">
        <v>39333</v>
      </c>
      <c r="B24" s="6">
        <v>2</v>
      </c>
      <c r="C24" s="8" t="s">
        <v>37</v>
      </c>
      <c r="D24" s="8">
        <v>11</v>
      </c>
      <c r="E24" s="6" t="s">
        <v>19</v>
      </c>
      <c r="F24" s="6">
        <v>4</v>
      </c>
      <c r="G24" s="6">
        <v>0</v>
      </c>
      <c r="H24" s="86">
        <f t="shared" si="0"/>
        <v>0</v>
      </c>
      <c r="I24" s="6">
        <v>0</v>
      </c>
      <c r="J24" s="6">
        <v>0</v>
      </c>
      <c r="K24" s="6">
        <v>0</v>
      </c>
    </row>
    <row r="25" spans="1:11" x14ac:dyDescent="0.2">
      <c r="A25" s="5">
        <v>39341</v>
      </c>
      <c r="B25" s="6">
        <v>3</v>
      </c>
      <c r="C25" s="8" t="s">
        <v>37</v>
      </c>
      <c r="D25" s="8">
        <v>11</v>
      </c>
      <c r="E25" s="6" t="s">
        <v>19</v>
      </c>
      <c r="F25" s="6">
        <v>4</v>
      </c>
      <c r="G25" s="6">
        <v>0</v>
      </c>
      <c r="H25" s="86">
        <f t="shared" si="0"/>
        <v>0</v>
      </c>
      <c r="I25" s="6">
        <v>0</v>
      </c>
      <c r="J25" s="6">
        <v>0</v>
      </c>
      <c r="K25" s="6">
        <v>0</v>
      </c>
    </row>
    <row r="26" spans="1:11" x14ac:dyDescent="0.2">
      <c r="A26" s="5">
        <v>39348</v>
      </c>
      <c r="B26" s="6">
        <v>4</v>
      </c>
      <c r="C26" s="8" t="s">
        <v>37</v>
      </c>
      <c r="D26" s="8">
        <v>11</v>
      </c>
      <c r="E26" s="6" t="s">
        <v>19</v>
      </c>
      <c r="F26" s="6">
        <v>4</v>
      </c>
      <c r="G26" s="6">
        <v>0</v>
      </c>
      <c r="H26" s="86">
        <f t="shared" si="0"/>
        <v>0</v>
      </c>
      <c r="I26" s="6">
        <v>0</v>
      </c>
      <c r="J26" s="6">
        <v>0</v>
      </c>
      <c r="K26" s="6">
        <v>0</v>
      </c>
    </row>
    <row r="27" spans="1:11" x14ac:dyDescent="0.2">
      <c r="A27" s="5">
        <v>39327</v>
      </c>
      <c r="B27" s="6">
        <v>1</v>
      </c>
      <c r="C27" s="8" t="s">
        <v>38</v>
      </c>
      <c r="D27" s="8">
        <v>12</v>
      </c>
      <c r="E27" s="6" t="s">
        <v>20</v>
      </c>
      <c r="F27" s="6">
        <v>3</v>
      </c>
      <c r="G27" s="6">
        <v>0</v>
      </c>
      <c r="H27" s="86">
        <f t="shared" si="0"/>
        <v>0</v>
      </c>
      <c r="I27" s="6">
        <v>0</v>
      </c>
      <c r="J27" s="6">
        <v>0</v>
      </c>
      <c r="K27" s="6">
        <v>0</v>
      </c>
    </row>
    <row r="28" spans="1:11" x14ac:dyDescent="0.2">
      <c r="A28" s="5">
        <v>39333</v>
      </c>
      <c r="B28" s="6">
        <v>2</v>
      </c>
      <c r="C28" s="8" t="s">
        <v>38</v>
      </c>
      <c r="D28" s="8">
        <v>12</v>
      </c>
      <c r="E28" s="6" t="s">
        <v>20</v>
      </c>
      <c r="F28" s="6">
        <v>3</v>
      </c>
      <c r="G28" s="6">
        <v>0</v>
      </c>
      <c r="H28" s="86">
        <f t="shared" si="0"/>
        <v>0</v>
      </c>
      <c r="I28" s="6">
        <v>0</v>
      </c>
      <c r="J28" s="6">
        <v>0</v>
      </c>
      <c r="K28" s="6">
        <v>0</v>
      </c>
    </row>
    <row r="29" spans="1:11" x14ac:dyDescent="0.2">
      <c r="A29" s="5">
        <v>39341</v>
      </c>
      <c r="B29" s="6">
        <v>3</v>
      </c>
      <c r="C29" s="8" t="s">
        <v>38</v>
      </c>
      <c r="D29" s="8">
        <v>12</v>
      </c>
      <c r="E29" s="6" t="s">
        <v>20</v>
      </c>
      <c r="F29" s="6">
        <v>3</v>
      </c>
      <c r="G29" s="6">
        <v>0</v>
      </c>
      <c r="H29" s="86">
        <f t="shared" si="0"/>
        <v>0</v>
      </c>
      <c r="I29" s="6">
        <v>0</v>
      </c>
      <c r="J29" s="6">
        <v>0</v>
      </c>
      <c r="K29" s="6">
        <v>0</v>
      </c>
    </row>
    <row r="30" spans="1:11" x14ac:dyDescent="0.2">
      <c r="A30" s="5">
        <v>39348</v>
      </c>
      <c r="B30" s="6">
        <v>4</v>
      </c>
      <c r="C30" s="8" t="s">
        <v>38</v>
      </c>
      <c r="D30" s="8">
        <v>12</v>
      </c>
      <c r="E30" s="6" t="s">
        <v>20</v>
      </c>
      <c r="F30" s="6">
        <v>3</v>
      </c>
      <c r="G30" s="6">
        <v>0</v>
      </c>
      <c r="H30" s="86">
        <f t="shared" si="0"/>
        <v>0</v>
      </c>
      <c r="I30" s="6">
        <v>0</v>
      </c>
      <c r="J30" s="6">
        <v>0</v>
      </c>
      <c r="K30" s="6">
        <v>0</v>
      </c>
    </row>
    <row r="31" spans="1:11" x14ac:dyDescent="0.2">
      <c r="A31" s="5">
        <v>39327</v>
      </c>
      <c r="B31" s="6">
        <v>1</v>
      </c>
      <c r="C31" s="8" t="s">
        <v>124</v>
      </c>
      <c r="D31" s="8">
        <v>13</v>
      </c>
      <c r="E31" s="6" t="s">
        <v>21</v>
      </c>
      <c r="F31" s="6">
        <v>3</v>
      </c>
      <c r="G31" s="6">
        <v>0</v>
      </c>
      <c r="H31" s="86">
        <f t="shared" si="0"/>
        <v>0</v>
      </c>
      <c r="I31" s="6">
        <v>0</v>
      </c>
      <c r="J31" s="6">
        <v>0</v>
      </c>
      <c r="K31" s="6">
        <v>0</v>
      </c>
    </row>
    <row r="32" spans="1:11" x14ac:dyDescent="0.2">
      <c r="A32" s="5">
        <v>39333</v>
      </c>
      <c r="B32" s="6">
        <v>2</v>
      </c>
      <c r="C32" s="8" t="s">
        <v>124</v>
      </c>
      <c r="D32" s="8">
        <v>13</v>
      </c>
      <c r="E32" s="6" t="s">
        <v>21</v>
      </c>
      <c r="F32" s="6">
        <v>3</v>
      </c>
      <c r="G32" s="6">
        <v>0</v>
      </c>
      <c r="H32" s="86">
        <f t="shared" si="0"/>
        <v>0</v>
      </c>
      <c r="I32" s="6">
        <v>0</v>
      </c>
      <c r="J32" s="6">
        <v>0</v>
      </c>
      <c r="K32" s="6">
        <v>0</v>
      </c>
    </row>
    <row r="33" spans="1:11" x14ac:dyDescent="0.2">
      <c r="A33" s="5">
        <v>39341</v>
      </c>
      <c r="B33" s="6">
        <v>3</v>
      </c>
      <c r="C33" s="8" t="s">
        <v>124</v>
      </c>
      <c r="D33" s="8">
        <v>13</v>
      </c>
      <c r="E33" s="6" t="s">
        <v>21</v>
      </c>
      <c r="F33" s="6">
        <v>3</v>
      </c>
      <c r="G33" s="6">
        <v>0</v>
      </c>
      <c r="H33" s="86">
        <f t="shared" si="0"/>
        <v>0</v>
      </c>
      <c r="I33" s="6">
        <v>0</v>
      </c>
      <c r="J33" s="6">
        <v>0</v>
      </c>
      <c r="K33" s="6">
        <v>0</v>
      </c>
    </row>
    <row r="34" spans="1:11" x14ac:dyDescent="0.2">
      <c r="A34" s="5">
        <v>39348</v>
      </c>
      <c r="B34" s="6">
        <v>4</v>
      </c>
      <c r="C34" s="8" t="s">
        <v>124</v>
      </c>
      <c r="D34" s="8">
        <v>13</v>
      </c>
      <c r="E34" s="6" t="s">
        <v>21</v>
      </c>
      <c r="F34" s="6">
        <v>3</v>
      </c>
      <c r="G34" s="6">
        <v>0</v>
      </c>
      <c r="H34" s="86">
        <f t="shared" si="0"/>
        <v>0</v>
      </c>
      <c r="I34" s="6">
        <v>0</v>
      </c>
      <c r="J34" s="6">
        <v>0</v>
      </c>
      <c r="K34" s="6">
        <v>0</v>
      </c>
    </row>
    <row r="35" spans="1:11" x14ac:dyDescent="0.2">
      <c r="A35" s="5">
        <v>39327</v>
      </c>
      <c r="B35" s="6">
        <v>1</v>
      </c>
      <c r="C35" s="8" t="s">
        <v>123</v>
      </c>
      <c r="D35" s="8">
        <v>14</v>
      </c>
      <c r="E35" s="6" t="s">
        <v>22</v>
      </c>
      <c r="F35" s="6">
        <v>3</v>
      </c>
      <c r="G35" s="6">
        <v>0</v>
      </c>
      <c r="H35" s="86">
        <f t="shared" si="0"/>
        <v>0</v>
      </c>
      <c r="I35" s="6">
        <v>0</v>
      </c>
      <c r="J35" s="6">
        <v>0</v>
      </c>
      <c r="K35" s="6">
        <v>0</v>
      </c>
    </row>
    <row r="36" spans="1:11" x14ac:dyDescent="0.2">
      <c r="A36" s="5">
        <v>39333</v>
      </c>
      <c r="B36" s="6">
        <v>2</v>
      </c>
      <c r="C36" s="8" t="s">
        <v>123</v>
      </c>
      <c r="D36" s="8">
        <v>14</v>
      </c>
      <c r="E36" s="6" t="s">
        <v>22</v>
      </c>
      <c r="F36" s="6">
        <v>3</v>
      </c>
      <c r="G36" s="6">
        <v>0</v>
      </c>
      <c r="H36" s="86">
        <f t="shared" si="0"/>
        <v>0</v>
      </c>
      <c r="I36" s="6">
        <v>0</v>
      </c>
      <c r="J36" s="6">
        <v>0</v>
      </c>
      <c r="K36" s="6">
        <v>0</v>
      </c>
    </row>
    <row r="37" spans="1:11" x14ac:dyDescent="0.2">
      <c r="A37" s="5">
        <v>39341</v>
      </c>
      <c r="B37" s="6">
        <v>3</v>
      </c>
      <c r="C37" s="8" t="s">
        <v>123</v>
      </c>
      <c r="D37" s="8">
        <v>14</v>
      </c>
      <c r="E37" s="6" t="s">
        <v>22</v>
      </c>
      <c r="F37" s="6">
        <v>3</v>
      </c>
      <c r="G37" s="6">
        <v>0</v>
      </c>
      <c r="H37" s="86">
        <f t="shared" si="0"/>
        <v>0</v>
      </c>
      <c r="I37" s="6">
        <v>0</v>
      </c>
      <c r="J37" s="6">
        <v>0</v>
      </c>
      <c r="K37" s="6">
        <v>0</v>
      </c>
    </row>
    <row r="38" spans="1:11" ht="13.5" thickBot="1" x14ac:dyDescent="0.25">
      <c r="A38" s="5">
        <v>39348</v>
      </c>
      <c r="B38" s="6">
        <v>4</v>
      </c>
      <c r="C38" s="8" t="s">
        <v>123</v>
      </c>
      <c r="D38" s="8">
        <v>14</v>
      </c>
      <c r="E38" s="6" t="s">
        <v>22</v>
      </c>
      <c r="F38" s="80">
        <v>3</v>
      </c>
      <c r="G38" s="80">
        <v>0</v>
      </c>
      <c r="H38" s="87">
        <f t="shared" si="0"/>
        <v>0</v>
      </c>
      <c r="I38" s="80">
        <v>0</v>
      </c>
      <c r="J38" s="80">
        <v>0</v>
      </c>
      <c r="K38" s="80">
        <v>0</v>
      </c>
    </row>
    <row r="39" spans="1:11" x14ac:dyDescent="0.2">
      <c r="F39" s="3">
        <f>SUM(F4:F38)</f>
        <v>125</v>
      </c>
      <c r="G39" s="3">
        <f>SUM(G4:G38)</f>
        <v>41</v>
      </c>
      <c r="H39" s="88">
        <f t="shared" si="0"/>
        <v>0.32800000000000001</v>
      </c>
      <c r="I39" s="3">
        <f>SUM(I4:I38)</f>
        <v>54</v>
      </c>
      <c r="J39" s="3">
        <f>SUM(J4:J38)</f>
        <v>11</v>
      </c>
      <c r="K39" s="3">
        <f>SUM(K4:K38)</f>
        <v>1</v>
      </c>
    </row>
    <row r="42" spans="1:11" x14ac:dyDescent="0.2">
      <c r="B42" t="s">
        <v>175</v>
      </c>
    </row>
  </sheetData>
  <sortState xmlns:xlrd2="http://schemas.microsoft.com/office/spreadsheetml/2017/richdata2" ref="A4:K38">
    <sortCondition ref="D4:D38"/>
  </sortState>
  <phoneticPr fontId="0" type="noConversion"/>
  <pageMargins left="0.75" right="0.75" top="1" bottom="1" header="0.5" footer="0.5"/>
  <pageSetup orientation="portrait" r:id="rId1"/>
  <headerFooter alignWithMargins="0"/>
  <ignoredErrors>
    <ignoredError sqref="H39" formula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66"/>
  <sheetViews>
    <sheetView workbookViewId="0">
      <pane ySplit="3" topLeftCell="A25" activePane="bottomLeft" state="frozen"/>
      <selection pane="bottomLeft" activeCell="G55" sqref="G55:G57"/>
    </sheetView>
  </sheetViews>
  <sheetFormatPr defaultRowHeight="12.75" x14ac:dyDescent="0.2"/>
  <cols>
    <col min="5" max="5" width="33.7109375" customWidth="1"/>
  </cols>
  <sheetData>
    <row r="1" spans="1:11" x14ac:dyDescent="0.2">
      <c r="A1" s="2"/>
      <c r="B1" s="2"/>
      <c r="C1" s="2" t="s">
        <v>25</v>
      </c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1" x14ac:dyDescent="0.2">
      <c r="A2" s="2" t="s">
        <v>0</v>
      </c>
      <c r="B2" s="2" t="s">
        <v>1</v>
      </c>
      <c r="C2" s="2" t="s">
        <v>26</v>
      </c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1" ht="13.5" thickBot="1" x14ac:dyDescent="0.25">
      <c r="A3" s="1"/>
      <c r="I3" s="1"/>
      <c r="J3" s="4" t="s">
        <v>6</v>
      </c>
      <c r="K3" s="4" t="s">
        <v>7</v>
      </c>
    </row>
    <row r="4" spans="1:11" x14ac:dyDescent="0.2">
      <c r="A4" s="5">
        <v>39321</v>
      </c>
      <c r="B4" s="6">
        <v>1</v>
      </c>
      <c r="C4" s="8" t="s">
        <v>27</v>
      </c>
      <c r="D4" s="8">
        <v>1</v>
      </c>
      <c r="E4" s="6" t="s">
        <v>9</v>
      </c>
      <c r="F4" s="6">
        <v>6</v>
      </c>
      <c r="G4" s="6">
        <v>0</v>
      </c>
      <c r="H4" s="86">
        <f>G4/F4</f>
        <v>0</v>
      </c>
      <c r="I4" s="6">
        <v>0</v>
      </c>
      <c r="J4" s="6">
        <v>0</v>
      </c>
      <c r="K4" s="6">
        <v>0</v>
      </c>
    </row>
    <row r="5" spans="1:11" x14ac:dyDescent="0.2">
      <c r="A5" s="5">
        <v>39321</v>
      </c>
      <c r="B5" s="6">
        <v>1</v>
      </c>
      <c r="C5" s="8" t="s">
        <v>28</v>
      </c>
      <c r="D5" s="8">
        <v>2</v>
      </c>
      <c r="E5" s="6" t="s">
        <v>10</v>
      </c>
      <c r="F5" s="6">
        <v>3</v>
      </c>
      <c r="G5" s="6">
        <v>0</v>
      </c>
      <c r="H5" s="86">
        <f t="shared" ref="H5:H58" si="0">G5/F5</f>
        <v>0</v>
      </c>
      <c r="I5" s="6">
        <v>0</v>
      </c>
      <c r="J5" s="6">
        <v>0</v>
      </c>
      <c r="K5" s="6">
        <v>0</v>
      </c>
    </row>
    <row r="6" spans="1:11" x14ac:dyDescent="0.2">
      <c r="A6" s="5">
        <v>39328</v>
      </c>
      <c r="B6" s="6">
        <v>2</v>
      </c>
      <c r="C6" s="8" t="s">
        <v>28</v>
      </c>
      <c r="D6" s="8">
        <v>2</v>
      </c>
      <c r="E6" s="6" t="s">
        <v>10</v>
      </c>
      <c r="F6" s="6">
        <v>3</v>
      </c>
      <c r="G6" s="6">
        <v>0</v>
      </c>
      <c r="H6" s="86">
        <f t="shared" si="0"/>
        <v>0</v>
      </c>
      <c r="I6" s="6">
        <v>0</v>
      </c>
      <c r="J6" s="6">
        <v>0</v>
      </c>
      <c r="K6" s="6">
        <v>0</v>
      </c>
    </row>
    <row r="7" spans="1:11" x14ac:dyDescent="0.2">
      <c r="A7" s="5">
        <v>39321</v>
      </c>
      <c r="B7" s="6">
        <v>1</v>
      </c>
      <c r="C7" s="8" t="s">
        <v>29</v>
      </c>
      <c r="D7" s="8">
        <v>3</v>
      </c>
      <c r="E7" s="6" t="s">
        <v>11</v>
      </c>
      <c r="F7" s="6">
        <v>2</v>
      </c>
      <c r="G7" s="6">
        <v>0</v>
      </c>
      <c r="H7" s="86">
        <f t="shared" si="0"/>
        <v>0</v>
      </c>
      <c r="I7" s="6">
        <v>0</v>
      </c>
      <c r="J7" s="6">
        <v>0</v>
      </c>
      <c r="K7" s="6">
        <v>0</v>
      </c>
    </row>
    <row r="8" spans="1:11" x14ac:dyDescent="0.2">
      <c r="A8" s="5">
        <v>39328</v>
      </c>
      <c r="B8" s="6">
        <v>2</v>
      </c>
      <c r="C8" s="8" t="s">
        <v>29</v>
      </c>
      <c r="D8" s="8">
        <v>3</v>
      </c>
      <c r="E8" s="6" t="s">
        <v>11</v>
      </c>
      <c r="F8" s="6">
        <v>2</v>
      </c>
      <c r="G8" s="6">
        <v>0</v>
      </c>
      <c r="H8" s="86">
        <f t="shared" si="0"/>
        <v>0</v>
      </c>
      <c r="I8" s="6">
        <v>0</v>
      </c>
      <c r="J8" s="6">
        <v>0</v>
      </c>
      <c r="K8" s="6">
        <v>0</v>
      </c>
    </row>
    <row r="9" spans="1:11" x14ac:dyDescent="0.2">
      <c r="A9" s="5">
        <v>39335</v>
      </c>
      <c r="B9" s="6">
        <v>3</v>
      </c>
      <c r="C9" s="8" t="s">
        <v>29</v>
      </c>
      <c r="D9" s="8">
        <v>3</v>
      </c>
      <c r="E9" s="6" t="s">
        <v>11</v>
      </c>
      <c r="F9" s="6">
        <v>2</v>
      </c>
      <c r="G9" s="6">
        <v>0</v>
      </c>
      <c r="H9" s="86">
        <f t="shared" si="0"/>
        <v>0</v>
      </c>
      <c r="I9" s="6">
        <v>0</v>
      </c>
      <c r="J9" s="6">
        <v>0</v>
      </c>
      <c r="K9" s="6">
        <v>0</v>
      </c>
    </row>
    <row r="10" spans="1:11" x14ac:dyDescent="0.2">
      <c r="A10" s="5">
        <v>39342</v>
      </c>
      <c r="B10" s="6">
        <v>4</v>
      </c>
      <c r="C10" s="8" t="s">
        <v>29</v>
      </c>
      <c r="D10" s="8">
        <v>3</v>
      </c>
      <c r="E10" s="6" t="s">
        <v>11</v>
      </c>
      <c r="F10" s="6">
        <v>2</v>
      </c>
      <c r="G10" s="6">
        <v>0</v>
      </c>
      <c r="H10" s="86">
        <f t="shared" si="0"/>
        <v>0</v>
      </c>
      <c r="I10" s="6">
        <v>1</v>
      </c>
      <c r="J10" s="6">
        <v>0</v>
      </c>
      <c r="K10" s="6">
        <v>0</v>
      </c>
    </row>
    <row r="11" spans="1:11" x14ac:dyDescent="0.2">
      <c r="A11" s="5">
        <v>39349</v>
      </c>
      <c r="B11" s="6">
        <v>5</v>
      </c>
      <c r="C11" s="8" t="s">
        <v>29</v>
      </c>
      <c r="D11" s="8">
        <v>3</v>
      </c>
      <c r="E11" s="6" t="s">
        <v>11</v>
      </c>
      <c r="F11" s="6">
        <v>2</v>
      </c>
      <c r="G11" s="6">
        <v>0</v>
      </c>
      <c r="H11" s="86">
        <f t="shared" si="0"/>
        <v>0</v>
      </c>
      <c r="I11" s="6">
        <v>0</v>
      </c>
      <c r="J11" s="6">
        <v>0</v>
      </c>
      <c r="K11" s="6">
        <v>0</v>
      </c>
    </row>
    <row r="12" spans="1:11" x14ac:dyDescent="0.2">
      <c r="A12" s="5">
        <v>39321</v>
      </c>
      <c r="B12" s="6">
        <v>1</v>
      </c>
      <c r="C12" s="8" t="s">
        <v>30</v>
      </c>
      <c r="D12" s="8">
        <v>4</v>
      </c>
      <c r="E12" s="6" t="s">
        <v>12</v>
      </c>
      <c r="F12" s="6">
        <v>5</v>
      </c>
      <c r="G12" s="6">
        <v>0</v>
      </c>
      <c r="H12" s="86">
        <f t="shared" si="0"/>
        <v>0</v>
      </c>
      <c r="I12" s="6">
        <v>0</v>
      </c>
      <c r="J12" s="6">
        <v>0</v>
      </c>
      <c r="K12" s="6">
        <v>0</v>
      </c>
    </row>
    <row r="13" spans="1:11" x14ac:dyDescent="0.2">
      <c r="A13" s="5">
        <v>39328</v>
      </c>
      <c r="B13" s="6">
        <v>2</v>
      </c>
      <c r="C13" s="8" t="s">
        <v>30</v>
      </c>
      <c r="D13" s="8">
        <v>4</v>
      </c>
      <c r="E13" s="6" t="s">
        <v>12</v>
      </c>
      <c r="F13" s="6">
        <v>5</v>
      </c>
      <c r="G13" s="6">
        <v>0</v>
      </c>
      <c r="H13" s="86">
        <f t="shared" si="0"/>
        <v>0</v>
      </c>
      <c r="I13" s="6">
        <v>0</v>
      </c>
      <c r="J13" s="6">
        <v>0</v>
      </c>
      <c r="K13" s="6">
        <v>0</v>
      </c>
    </row>
    <row r="14" spans="1:11" x14ac:dyDescent="0.2">
      <c r="A14" s="5">
        <v>39335</v>
      </c>
      <c r="B14" s="6">
        <v>3</v>
      </c>
      <c r="C14" s="8" t="s">
        <v>30</v>
      </c>
      <c r="D14" s="8">
        <v>4</v>
      </c>
      <c r="E14" s="6" t="s">
        <v>12</v>
      </c>
      <c r="F14" s="6">
        <v>5</v>
      </c>
      <c r="G14" s="6">
        <v>0</v>
      </c>
      <c r="H14" s="86">
        <f t="shared" si="0"/>
        <v>0</v>
      </c>
      <c r="I14" s="6">
        <v>0</v>
      </c>
      <c r="J14" s="6">
        <v>0</v>
      </c>
      <c r="K14" s="6">
        <v>0</v>
      </c>
    </row>
    <row r="15" spans="1:11" x14ac:dyDescent="0.2">
      <c r="A15" s="5">
        <v>39342</v>
      </c>
      <c r="B15" s="6">
        <v>4</v>
      </c>
      <c r="C15" s="8" t="s">
        <v>30</v>
      </c>
      <c r="D15" s="8">
        <v>4</v>
      </c>
      <c r="E15" s="6" t="s">
        <v>12</v>
      </c>
      <c r="F15" s="6">
        <v>5</v>
      </c>
      <c r="G15" s="6">
        <v>2</v>
      </c>
      <c r="H15" s="86">
        <f t="shared" si="0"/>
        <v>0.4</v>
      </c>
      <c r="I15" s="6">
        <v>3</v>
      </c>
      <c r="J15" s="6">
        <v>0</v>
      </c>
      <c r="K15" s="6">
        <v>0</v>
      </c>
    </row>
    <row r="16" spans="1:11" x14ac:dyDescent="0.2">
      <c r="A16" s="5">
        <v>39349</v>
      </c>
      <c r="B16" s="6">
        <v>5</v>
      </c>
      <c r="C16" s="8" t="s">
        <v>30</v>
      </c>
      <c r="D16" s="8">
        <v>4</v>
      </c>
      <c r="E16" s="6" t="s">
        <v>12</v>
      </c>
      <c r="F16" s="6">
        <v>5</v>
      </c>
      <c r="G16" s="6">
        <v>0</v>
      </c>
      <c r="H16" s="86">
        <f t="shared" si="0"/>
        <v>0</v>
      </c>
      <c r="I16" s="6">
        <v>0</v>
      </c>
      <c r="J16" s="6">
        <v>0</v>
      </c>
      <c r="K16" s="6">
        <v>0</v>
      </c>
    </row>
    <row r="17" spans="1:11" x14ac:dyDescent="0.2">
      <c r="A17" s="5">
        <v>39321</v>
      </c>
      <c r="B17" s="6">
        <v>1</v>
      </c>
      <c r="C17" s="8" t="s">
        <v>31</v>
      </c>
      <c r="D17" s="8">
        <v>5</v>
      </c>
      <c r="E17" s="6" t="s">
        <v>13</v>
      </c>
      <c r="F17" s="6">
        <v>2</v>
      </c>
      <c r="G17" s="6">
        <v>0</v>
      </c>
      <c r="H17" s="86">
        <f t="shared" si="0"/>
        <v>0</v>
      </c>
      <c r="I17" s="6">
        <v>0</v>
      </c>
      <c r="J17" s="6">
        <v>0</v>
      </c>
      <c r="K17" s="6">
        <v>0</v>
      </c>
    </row>
    <row r="18" spans="1:11" x14ac:dyDescent="0.2">
      <c r="A18" s="5">
        <v>39328</v>
      </c>
      <c r="B18" s="6">
        <v>2</v>
      </c>
      <c r="C18" s="8" t="s">
        <v>31</v>
      </c>
      <c r="D18" s="8">
        <v>5</v>
      </c>
      <c r="E18" s="6" t="s">
        <v>13</v>
      </c>
      <c r="F18" s="6">
        <v>2</v>
      </c>
      <c r="G18" s="6">
        <v>0</v>
      </c>
      <c r="H18" s="86">
        <f t="shared" si="0"/>
        <v>0</v>
      </c>
      <c r="I18" s="6">
        <v>0</v>
      </c>
      <c r="J18" s="6">
        <v>0</v>
      </c>
      <c r="K18" s="6">
        <v>0</v>
      </c>
    </row>
    <row r="19" spans="1:11" x14ac:dyDescent="0.2">
      <c r="A19" s="5">
        <v>39335</v>
      </c>
      <c r="B19" s="6">
        <v>3</v>
      </c>
      <c r="C19" s="8" t="s">
        <v>31</v>
      </c>
      <c r="D19" s="8">
        <v>5</v>
      </c>
      <c r="E19" s="6" t="s">
        <v>13</v>
      </c>
      <c r="F19" s="6">
        <v>2</v>
      </c>
      <c r="G19" s="6">
        <v>0</v>
      </c>
      <c r="H19" s="86">
        <f t="shared" si="0"/>
        <v>0</v>
      </c>
      <c r="I19" s="6">
        <v>1</v>
      </c>
      <c r="J19" s="6">
        <v>0</v>
      </c>
      <c r="K19" s="6">
        <v>0</v>
      </c>
    </row>
    <row r="20" spans="1:11" x14ac:dyDescent="0.2">
      <c r="A20" s="5">
        <v>39342</v>
      </c>
      <c r="B20" s="6">
        <v>4</v>
      </c>
      <c r="C20" s="8" t="s">
        <v>31</v>
      </c>
      <c r="D20" s="8">
        <v>5</v>
      </c>
      <c r="E20" s="6" t="s">
        <v>13</v>
      </c>
      <c r="F20" s="6">
        <v>2</v>
      </c>
      <c r="G20" s="6">
        <v>0</v>
      </c>
      <c r="H20" s="86">
        <f t="shared" si="0"/>
        <v>0</v>
      </c>
      <c r="I20" s="6">
        <v>0</v>
      </c>
      <c r="J20" s="6">
        <v>0</v>
      </c>
      <c r="K20" s="6">
        <v>0</v>
      </c>
    </row>
    <row r="21" spans="1:11" x14ac:dyDescent="0.2">
      <c r="A21" s="5">
        <v>39349</v>
      </c>
      <c r="B21" s="6">
        <v>5</v>
      </c>
      <c r="C21" s="8" t="s">
        <v>31</v>
      </c>
      <c r="D21" s="8">
        <v>5</v>
      </c>
      <c r="E21" s="6" t="s">
        <v>13</v>
      </c>
      <c r="F21" s="6">
        <v>2</v>
      </c>
      <c r="G21" s="6">
        <v>0</v>
      </c>
      <c r="H21" s="86">
        <f t="shared" si="0"/>
        <v>0</v>
      </c>
      <c r="I21" s="6">
        <v>0</v>
      </c>
      <c r="J21" s="6">
        <v>0</v>
      </c>
      <c r="K21" s="6">
        <v>0</v>
      </c>
    </row>
    <row r="22" spans="1:11" x14ac:dyDescent="0.2">
      <c r="A22" s="5">
        <v>39321</v>
      </c>
      <c r="B22" s="6">
        <v>1</v>
      </c>
      <c r="C22" s="8" t="s">
        <v>32</v>
      </c>
      <c r="D22" s="8">
        <v>6</v>
      </c>
      <c r="E22" s="6" t="s">
        <v>14</v>
      </c>
      <c r="F22" s="6">
        <v>4</v>
      </c>
      <c r="G22" s="6">
        <v>0</v>
      </c>
      <c r="H22" s="86">
        <f t="shared" si="0"/>
        <v>0</v>
      </c>
      <c r="I22" s="6">
        <v>0</v>
      </c>
      <c r="J22" s="6">
        <v>0</v>
      </c>
      <c r="K22" s="6">
        <v>0</v>
      </c>
    </row>
    <row r="23" spans="1:11" x14ac:dyDescent="0.2">
      <c r="A23" s="5">
        <v>39328</v>
      </c>
      <c r="B23" s="6">
        <v>2</v>
      </c>
      <c r="C23" s="8" t="s">
        <v>32</v>
      </c>
      <c r="D23" s="8">
        <v>6</v>
      </c>
      <c r="E23" s="6" t="s">
        <v>14</v>
      </c>
      <c r="F23" s="6">
        <v>4</v>
      </c>
      <c r="G23" s="6">
        <v>0</v>
      </c>
      <c r="H23" s="86">
        <f t="shared" si="0"/>
        <v>0</v>
      </c>
      <c r="I23" s="6">
        <v>0</v>
      </c>
      <c r="J23" s="6">
        <v>0</v>
      </c>
      <c r="K23" s="6">
        <v>0</v>
      </c>
    </row>
    <row r="24" spans="1:11" x14ac:dyDescent="0.2">
      <c r="A24" s="5">
        <v>39335</v>
      </c>
      <c r="B24" s="6">
        <v>3</v>
      </c>
      <c r="C24" s="8" t="s">
        <v>32</v>
      </c>
      <c r="D24" s="8">
        <v>6</v>
      </c>
      <c r="E24" s="6" t="s">
        <v>14</v>
      </c>
      <c r="F24" s="6">
        <v>4</v>
      </c>
      <c r="G24" s="6">
        <v>0</v>
      </c>
      <c r="H24" s="86">
        <f t="shared" si="0"/>
        <v>0</v>
      </c>
      <c r="I24" s="6">
        <v>0</v>
      </c>
      <c r="J24" s="6">
        <v>0</v>
      </c>
      <c r="K24" s="6">
        <v>0</v>
      </c>
    </row>
    <row r="25" spans="1:11" x14ac:dyDescent="0.2">
      <c r="A25" s="5">
        <v>39342</v>
      </c>
      <c r="B25" s="6">
        <v>4</v>
      </c>
      <c r="C25" s="8" t="s">
        <v>32</v>
      </c>
      <c r="D25" s="8">
        <v>6</v>
      </c>
      <c r="E25" s="6" t="s">
        <v>14</v>
      </c>
      <c r="F25" s="6">
        <v>4</v>
      </c>
      <c r="G25" s="6">
        <v>1</v>
      </c>
      <c r="H25" s="86">
        <f t="shared" si="0"/>
        <v>0.25</v>
      </c>
      <c r="I25" s="6">
        <v>2</v>
      </c>
      <c r="J25" s="6">
        <v>0</v>
      </c>
      <c r="K25" s="6">
        <v>0</v>
      </c>
    </row>
    <row r="26" spans="1:11" x14ac:dyDescent="0.2">
      <c r="A26" s="5">
        <v>39349</v>
      </c>
      <c r="B26" s="6">
        <v>5</v>
      </c>
      <c r="C26" s="8" t="s">
        <v>32</v>
      </c>
      <c r="D26" s="8">
        <v>6</v>
      </c>
      <c r="E26" s="6" t="s">
        <v>14</v>
      </c>
      <c r="F26" s="6">
        <v>4</v>
      </c>
      <c r="G26" s="6">
        <v>0</v>
      </c>
      <c r="H26" s="86">
        <f t="shared" si="0"/>
        <v>0</v>
      </c>
      <c r="I26" s="6">
        <v>0</v>
      </c>
      <c r="J26" s="6">
        <v>0</v>
      </c>
      <c r="K26" s="6">
        <v>1</v>
      </c>
    </row>
    <row r="27" spans="1:11" x14ac:dyDescent="0.2">
      <c r="A27" s="5">
        <v>39321</v>
      </c>
      <c r="B27" s="6">
        <v>1</v>
      </c>
      <c r="C27" s="8" t="s">
        <v>33</v>
      </c>
      <c r="D27" s="8">
        <v>7</v>
      </c>
      <c r="E27" s="6" t="s">
        <v>15</v>
      </c>
      <c r="F27" s="6">
        <v>3</v>
      </c>
      <c r="G27" s="6">
        <v>0</v>
      </c>
      <c r="H27" s="86">
        <f t="shared" si="0"/>
        <v>0</v>
      </c>
      <c r="I27" s="6">
        <v>0</v>
      </c>
      <c r="J27" s="6">
        <v>0</v>
      </c>
      <c r="K27" s="6">
        <v>0</v>
      </c>
    </row>
    <row r="28" spans="1:11" x14ac:dyDescent="0.2">
      <c r="A28" s="5">
        <v>39328</v>
      </c>
      <c r="B28" s="6">
        <v>2</v>
      </c>
      <c r="C28" s="8" t="s">
        <v>33</v>
      </c>
      <c r="D28" s="8">
        <v>7</v>
      </c>
      <c r="E28" s="6" t="s">
        <v>15</v>
      </c>
      <c r="F28" s="6">
        <v>3</v>
      </c>
      <c r="G28" s="6">
        <v>0</v>
      </c>
      <c r="H28" s="86">
        <f t="shared" si="0"/>
        <v>0</v>
      </c>
      <c r="I28" s="6">
        <v>0</v>
      </c>
      <c r="J28" s="6">
        <v>0</v>
      </c>
      <c r="K28" s="6">
        <v>0</v>
      </c>
    </row>
    <row r="29" spans="1:11" x14ac:dyDescent="0.2">
      <c r="A29" s="5">
        <v>39335</v>
      </c>
      <c r="B29" s="6">
        <v>3</v>
      </c>
      <c r="C29" s="8" t="s">
        <v>33</v>
      </c>
      <c r="D29" s="8">
        <v>7</v>
      </c>
      <c r="E29" s="6" t="s">
        <v>15</v>
      </c>
      <c r="F29" s="6">
        <v>3</v>
      </c>
      <c r="G29" s="6">
        <v>0</v>
      </c>
      <c r="H29" s="86">
        <f t="shared" si="0"/>
        <v>0</v>
      </c>
      <c r="I29" s="6">
        <v>0</v>
      </c>
      <c r="J29" s="6">
        <v>0</v>
      </c>
      <c r="K29" s="6">
        <v>0</v>
      </c>
    </row>
    <row r="30" spans="1:11" x14ac:dyDescent="0.2">
      <c r="A30" s="5">
        <v>39342</v>
      </c>
      <c r="B30" s="6">
        <v>4</v>
      </c>
      <c r="C30" s="8" t="s">
        <v>33</v>
      </c>
      <c r="D30" s="8">
        <v>7</v>
      </c>
      <c r="E30" s="6" t="s">
        <v>15</v>
      </c>
      <c r="F30" s="6">
        <v>3</v>
      </c>
      <c r="G30" s="6">
        <v>0</v>
      </c>
      <c r="H30" s="86">
        <f t="shared" si="0"/>
        <v>0</v>
      </c>
      <c r="I30" s="6">
        <v>1</v>
      </c>
      <c r="J30" s="6">
        <v>0</v>
      </c>
      <c r="K30" s="6">
        <v>0</v>
      </c>
    </row>
    <row r="31" spans="1:11" x14ac:dyDescent="0.2">
      <c r="A31" s="5">
        <v>39349</v>
      </c>
      <c r="B31" s="6">
        <v>5</v>
      </c>
      <c r="C31" s="8" t="s">
        <v>33</v>
      </c>
      <c r="D31" s="8">
        <v>7</v>
      </c>
      <c r="E31" s="6" t="s">
        <v>15</v>
      </c>
      <c r="F31" s="6">
        <v>3</v>
      </c>
      <c r="G31" s="6">
        <v>0</v>
      </c>
      <c r="H31" s="86">
        <f t="shared" si="0"/>
        <v>0</v>
      </c>
      <c r="I31" s="6">
        <v>0</v>
      </c>
      <c r="J31" s="6">
        <v>0</v>
      </c>
      <c r="K31" s="6">
        <v>1</v>
      </c>
    </row>
    <row r="32" spans="1:11" x14ac:dyDescent="0.2">
      <c r="A32" s="5">
        <v>39321</v>
      </c>
      <c r="B32" s="6">
        <v>1</v>
      </c>
      <c r="C32" s="8" t="s">
        <v>34</v>
      </c>
      <c r="D32" s="8">
        <v>8</v>
      </c>
      <c r="E32" s="6" t="s">
        <v>16</v>
      </c>
      <c r="F32" s="6">
        <v>3</v>
      </c>
      <c r="G32" s="6">
        <v>0</v>
      </c>
      <c r="H32" s="86">
        <f t="shared" si="0"/>
        <v>0</v>
      </c>
      <c r="I32" s="6">
        <v>0</v>
      </c>
      <c r="J32" s="6">
        <v>0</v>
      </c>
      <c r="K32" s="6">
        <v>0</v>
      </c>
    </row>
    <row r="33" spans="1:11" x14ac:dyDescent="0.2">
      <c r="A33" s="5">
        <v>39328</v>
      </c>
      <c r="B33" s="6">
        <v>2</v>
      </c>
      <c r="C33" s="8" t="s">
        <v>34</v>
      </c>
      <c r="D33" s="8">
        <v>8</v>
      </c>
      <c r="E33" s="6" t="s">
        <v>16</v>
      </c>
      <c r="F33" s="6">
        <v>3</v>
      </c>
      <c r="G33" s="6">
        <v>0</v>
      </c>
      <c r="H33" s="86">
        <f t="shared" si="0"/>
        <v>0</v>
      </c>
      <c r="I33" s="6">
        <v>1</v>
      </c>
      <c r="J33" s="6">
        <v>0</v>
      </c>
      <c r="K33" s="6">
        <v>0</v>
      </c>
    </row>
    <row r="34" spans="1:11" x14ac:dyDescent="0.2">
      <c r="A34" s="5">
        <v>39335</v>
      </c>
      <c r="B34" s="6">
        <v>3</v>
      </c>
      <c r="C34" s="8" t="s">
        <v>34</v>
      </c>
      <c r="D34" s="8">
        <v>8</v>
      </c>
      <c r="E34" s="6" t="s">
        <v>16</v>
      </c>
      <c r="F34" s="6">
        <v>3</v>
      </c>
      <c r="G34" s="6">
        <v>0</v>
      </c>
      <c r="H34" s="86">
        <f t="shared" si="0"/>
        <v>0</v>
      </c>
      <c r="I34" s="6">
        <v>2</v>
      </c>
      <c r="J34" s="6">
        <v>0</v>
      </c>
      <c r="K34" s="6">
        <v>0</v>
      </c>
    </row>
    <row r="35" spans="1:11" x14ac:dyDescent="0.2">
      <c r="A35" s="5">
        <v>39342</v>
      </c>
      <c r="B35" s="6">
        <v>4</v>
      </c>
      <c r="C35" s="8" t="s">
        <v>34</v>
      </c>
      <c r="D35" s="8">
        <v>8</v>
      </c>
      <c r="E35" s="6" t="s">
        <v>16</v>
      </c>
      <c r="F35" s="6">
        <v>3</v>
      </c>
      <c r="G35" s="6">
        <v>7</v>
      </c>
      <c r="H35" s="86">
        <f t="shared" si="0"/>
        <v>2.3333333333333335</v>
      </c>
      <c r="I35" s="6">
        <v>13</v>
      </c>
      <c r="J35" s="6">
        <v>1</v>
      </c>
      <c r="K35" s="6">
        <v>1</v>
      </c>
    </row>
    <row r="36" spans="1:11" x14ac:dyDescent="0.2">
      <c r="A36" s="5">
        <v>39349</v>
      </c>
      <c r="B36" s="6">
        <v>5</v>
      </c>
      <c r="C36" s="8" t="s">
        <v>34</v>
      </c>
      <c r="D36" s="8">
        <v>8</v>
      </c>
      <c r="E36" s="6" t="s">
        <v>16</v>
      </c>
      <c r="F36" s="6">
        <v>3</v>
      </c>
      <c r="G36" s="6">
        <v>6</v>
      </c>
      <c r="H36" s="86">
        <f t="shared" si="0"/>
        <v>2</v>
      </c>
      <c r="I36" s="6">
        <v>4</v>
      </c>
      <c r="J36" s="6">
        <v>1</v>
      </c>
      <c r="K36" s="6">
        <v>2</v>
      </c>
    </row>
    <row r="37" spans="1:11" x14ac:dyDescent="0.2">
      <c r="A37" s="5">
        <v>39353</v>
      </c>
      <c r="B37" s="6">
        <v>6</v>
      </c>
      <c r="C37" s="8" t="s">
        <v>34</v>
      </c>
      <c r="D37" s="8">
        <v>8</v>
      </c>
      <c r="E37" s="6" t="s">
        <v>16</v>
      </c>
      <c r="F37" s="6">
        <v>3</v>
      </c>
      <c r="G37" s="6">
        <v>0</v>
      </c>
      <c r="H37" s="86">
        <f t="shared" si="0"/>
        <v>0</v>
      </c>
      <c r="I37" s="6">
        <v>2</v>
      </c>
      <c r="J37" s="6">
        <v>0</v>
      </c>
      <c r="K37" s="6">
        <v>2</v>
      </c>
    </row>
    <row r="38" spans="1:11" x14ac:dyDescent="0.2">
      <c r="A38" s="5">
        <v>39321</v>
      </c>
      <c r="B38" s="6">
        <v>1</v>
      </c>
      <c r="C38" s="8" t="s">
        <v>35</v>
      </c>
      <c r="D38" s="8">
        <v>9</v>
      </c>
      <c r="E38" s="6" t="s">
        <v>17</v>
      </c>
      <c r="F38" s="6">
        <v>4</v>
      </c>
      <c r="G38" s="6">
        <v>0</v>
      </c>
      <c r="H38" s="86">
        <f t="shared" si="0"/>
        <v>0</v>
      </c>
      <c r="I38" s="6">
        <v>0</v>
      </c>
      <c r="J38" s="6">
        <v>0</v>
      </c>
      <c r="K38" s="6">
        <v>0</v>
      </c>
    </row>
    <row r="39" spans="1:11" x14ac:dyDescent="0.2">
      <c r="A39" s="5">
        <v>39328</v>
      </c>
      <c r="B39" s="6">
        <v>2</v>
      </c>
      <c r="C39" s="8" t="s">
        <v>35</v>
      </c>
      <c r="D39" s="8">
        <v>9</v>
      </c>
      <c r="E39" s="6" t="s">
        <v>17</v>
      </c>
      <c r="F39" s="6">
        <v>4</v>
      </c>
      <c r="G39" s="6">
        <v>0</v>
      </c>
      <c r="H39" s="86">
        <f t="shared" si="0"/>
        <v>0</v>
      </c>
      <c r="I39" s="6">
        <v>0</v>
      </c>
      <c r="J39" s="6">
        <v>0</v>
      </c>
      <c r="K39" s="6">
        <v>0</v>
      </c>
    </row>
    <row r="40" spans="1:11" x14ac:dyDescent="0.2">
      <c r="A40" s="5">
        <v>39335</v>
      </c>
      <c r="B40" s="6">
        <v>3</v>
      </c>
      <c r="C40" s="8" t="s">
        <v>35</v>
      </c>
      <c r="D40" s="8">
        <v>9</v>
      </c>
      <c r="E40" s="6" t="s">
        <v>17</v>
      </c>
      <c r="F40" s="6">
        <v>4</v>
      </c>
      <c r="G40" s="6">
        <v>0</v>
      </c>
      <c r="H40" s="86">
        <f t="shared" si="0"/>
        <v>0</v>
      </c>
      <c r="I40" s="6">
        <v>0</v>
      </c>
      <c r="J40" s="6">
        <v>0</v>
      </c>
      <c r="K40" s="6">
        <v>0</v>
      </c>
    </row>
    <row r="41" spans="1:11" x14ac:dyDescent="0.2">
      <c r="A41" s="5">
        <v>39342</v>
      </c>
      <c r="B41" s="6">
        <v>4</v>
      </c>
      <c r="C41" s="8" t="s">
        <v>35</v>
      </c>
      <c r="D41" s="8">
        <v>9</v>
      </c>
      <c r="E41" s="6" t="s">
        <v>17</v>
      </c>
      <c r="F41" s="6">
        <v>4</v>
      </c>
      <c r="G41" s="6">
        <v>5</v>
      </c>
      <c r="H41" s="86">
        <f t="shared" si="0"/>
        <v>1.25</v>
      </c>
      <c r="I41" s="6">
        <v>7</v>
      </c>
      <c r="J41" s="6">
        <v>0</v>
      </c>
      <c r="K41" s="6">
        <v>0</v>
      </c>
    </row>
    <row r="42" spans="1:11" x14ac:dyDescent="0.2">
      <c r="A42" s="5">
        <v>39349</v>
      </c>
      <c r="B42" s="6">
        <v>5</v>
      </c>
      <c r="C42" s="8" t="s">
        <v>35</v>
      </c>
      <c r="D42" s="8">
        <v>9</v>
      </c>
      <c r="E42" s="6" t="s">
        <v>17</v>
      </c>
      <c r="F42" s="6">
        <v>4</v>
      </c>
      <c r="G42" s="6">
        <v>0</v>
      </c>
      <c r="H42" s="86">
        <f t="shared" si="0"/>
        <v>0</v>
      </c>
      <c r="I42" s="6">
        <v>8</v>
      </c>
      <c r="J42" s="6">
        <v>1</v>
      </c>
      <c r="K42" s="6">
        <v>2</v>
      </c>
    </row>
    <row r="43" spans="1:11" x14ac:dyDescent="0.2">
      <c r="A43" s="5">
        <v>39353</v>
      </c>
      <c r="B43" s="6">
        <v>6</v>
      </c>
      <c r="C43" s="8" t="s">
        <v>35</v>
      </c>
      <c r="D43" s="8">
        <v>9</v>
      </c>
      <c r="E43" s="6" t="s">
        <v>17</v>
      </c>
      <c r="F43" s="6">
        <v>4</v>
      </c>
      <c r="G43" s="6">
        <v>0</v>
      </c>
      <c r="H43" s="86">
        <f t="shared" si="0"/>
        <v>0</v>
      </c>
      <c r="I43" s="6">
        <v>6</v>
      </c>
      <c r="J43" s="6">
        <v>0</v>
      </c>
      <c r="K43" s="6">
        <v>3</v>
      </c>
    </row>
    <row r="44" spans="1:11" x14ac:dyDescent="0.2">
      <c r="A44" s="5">
        <v>39321</v>
      </c>
      <c r="B44" s="6">
        <v>1</v>
      </c>
      <c r="C44" s="8" t="s">
        <v>36</v>
      </c>
      <c r="D44" s="8">
        <v>10</v>
      </c>
      <c r="E44" s="6" t="s">
        <v>18</v>
      </c>
      <c r="F44" s="6">
        <v>5</v>
      </c>
      <c r="G44" s="6">
        <v>0</v>
      </c>
      <c r="H44" s="86">
        <f t="shared" si="0"/>
        <v>0</v>
      </c>
      <c r="I44" s="6">
        <v>0</v>
      </c>
      <c r="J44" s="6">
        <v>0</v>
      </c>
      <c r="K44" s="6">
        <v>0</v>
      </c>
    </row>
    <row r="45" spans="1:11" x14ac:dyDescent="0.2">
      <c r="A45" s="5">
        <v>39328</v>
      </c>
      <c r="B45" s="6">
        <v>2</v>
      </c>
      <c r="C45" s="8" t="s">
        <v>36</v>
      </c>
      <c r="D45" s="8">
        <v>10</v>
      </c>
      <c r="E45" s="6" t="s">
        <v>18</v>
      </c>
      <c r="F45" s="6">
        <v>5</v>
      </c>
      <c r="G45" s="6">
        <v>0</v>
      </c>
      <c r="H45" s="86">
        <f t="shared" si="0"/>
        <v>0</v>
      </c>
      <c r="I45" s="6">
        <v>0</v>
      </c>
      <c r="J45" s="6">
        <v>0</v>
      </c>
      <c r="K45" s="6">
        <v>0</v>
      </c>
    </row>
    <row r="46" spans="1:11" x14ac:dyDescent="0.2">
      <c r="A46" s="5">
        <v>39336</v>
      </c>
      <c r="B46" s="6">
        <v>3</v>
      </c>
      <c r="C46" s="8" t="s">
        <v>36</v>
      </c>
      <c r="D46" s="8">
        <v>10</v>
      </c>
      <c r="E46" s="6" t="s">
        <v>18</v>
      </c>
      <c r="F46" s="6">
        <v>5</v>
      </c>
      <c r="G46" s="6">
        <v>1</v>
      </c>
      <c r="H46" s="86">
        <f t="shared" si="0"/>
        <v>0.2</v>
      </c>
      <c r="I46" s="6">
        <v>2</v>
      </c>
      <c r="J46" s="6">
        <v>0</v>
      </c>
      <c r="K46" s="6">
        <v>0</v>
      </c>
    </row>
    <row r="47" spans="1:11" x14ac:dyDescent="0.2">
      <c r="A47" s="5">
        <v>39342</v>
      </c>
      <c r="B47" s="6">
        <v>4</v>
      </c>
      <c r="C47" s="8" t="s">
        <v>36</v>
      </c>
      <c r="D47" s="8">
        <v>10</v>
      </c>
      <c r="E47" s="6" t="s">
        <v>18</v>
      </c>
      <c r="F47" s="6">
        <v>5</v>
      </c>
      <c r="G47" s="6">
        <v>1</v>
      </c>
      <c r="H47" s="86">
        <f t="shared" si="0"/>
        <v>0.2</v>
      </c>
      <c r="I47" s="6">
        <v>2</v>
      </c>
      <c r="J47" s="6">
        <v>0</v>
      </c>
      <c r="K47" s="6">
        <v>0</v>
      </c>
    </row>
    <row r="48" spans="1:11" x14ac:dyDescent="0.2">
      <c r="A48" s="5">
        <v>39349</v>
      </c>
      <c r="B48" s="6">
        <v>5</v>
      </c>
      <c r="C48" s="8" t="s">
        <v>36</v>
      </c>
      <c r="D48" s="8">
        <v>10</v>
      </c>
      <c r="E48" s="6" t="s">
        <v>18</v>
      </c>
      <c r="F48" s="6">
        <v>5</v>
      </c>
      <c r="G48" s="6">
        <v>0</v>
      </c>
      <c r="H48" s="86">
        <f t="shared" si="0"/>
        <v>0</v>
      </c>
      <c r="I48" s="6">
        <v>1</v>
      </c>
      <c r="J48" s="6">
        <v>0</v>
      </c>
      <c r="K48" s="6">
        <v>0</v>
      </c>
    </row>
    <row r="49" spans="1:11" x14ac:dyDescent="0.2">
      <c r="A49" s="5">
        <v>39353</v>
      </c>
      <c r="B49" s="6">
        <v>6</v>
      </c>
      <c r="C49" s="8" t="s">
        <v>36</v>
      </c>
      <c r="D49" s="8">
        <v>10</v>
      </c>
      <c r="E49" s="6" t="s">
        <v>18</v>
      </c>
      <c r="F49" s="6">
        <v>5</v>
      </c>
      <c r="G49" s="6">
        <v>0</v>
      </c>
      <c r="H49" s="86">
        <f t="shared" si="0"/>
        <v>0</v>
      </c>
      <c r="I49" s="6">
        <v>2</v>
      </c>
      <c r="J49" s="6">
        <v>0</v>
      </c>
      <c r="K49" s="6">
        <v>0</v>
      </c>
    </row>
    <row r="50" spans="1:11" x14ac:dyDescent="0.2">
      <c r="A50" s="5">
        <v>39321</v>
      </c>
      <c r="B50" s="6">
        <v>1</v>
      </c>
      <c r="C50" s="8" t="s">
        <v>37</v>
      </c>
      <c r="D50" s="8">
        <v>11</v>
      </c>
      <c r="E50" s="6" t="s">
        <v>19</v>
      </c>
      <c r="F50" s="6">
        <v>4</v>
      </c>
      <c r="G50" s="6">
        <v>0</v>
      </c>
      <c r="H50" s="86">
        <f t="shared" si="0"/>
        <v>0</v>
      </c>
      <c r="I50" s="6">
        <v>0</v>
      </c>
      <c r="J50" s="6">
        <v>0</v>
      </c>
      <c r="K50" s="6">
        <v>0</v>
      </c>
    </row>
    <row r="51" spans="1:11" x14ac:dyDescent="0.2">
      <c r="A51" s="5">
        <v>39342</v>
      </c>
      <c r="B51" s="6">
        <v>4</v>
      </c>
      <c r="C51" s="8" t="s">
        <v>37</v>
      </c>
      <c r="D51" s="8">
        <v>11</v>
      </c>
      <c r="E51" s="6" t="s">
        <v>19</v>
      </c>
      <c r="F51" s="6">
        <v>4</v>
      </c>
      <c r="G51" s="6">
        <v>0</v>
      </c>
      <c r="H51" s="86">
        <f t="shared" si="0"/>
        <v>0</v>
      </c>
      <c r="I51" s="6">
        <v>0</v>
      </c>
      <c r="J51" s="6">
        <v>0</v>
      </c>
      <c r="K51" s="6">
        <v>0</v>
      </c>
    </row>
    <row r="52" spans="1:11" x14ac:dyDescent="0.2">
      <c r="A52" s="5">
        <v>39349</v>
      </c>
      <c r="B52" s="6">
        <v>5</v>
      </c>
      <c r="C52" s="8" t="s">
        <v>37</v>
      </c>
      <c r="D52" s="8">
        <v>11</v>
      </c>
      <c r="E52" s="6" t="s">
        <v>19</v>
      </c>
      <c r="F52" s="6">
        <v>4</v>
      </c>
      <c r="G52" s="6">
        <v>0</v>
      </c>
      <c r="H52" s="86">
        <f t="shared" si="0"/>
        <v>0</v>
      </c>
      <c r="I52" s="6">
        <v>0</v>
      </c>
      <c r="J52" s="6">
        <v>0</v>
      </c>
      <c r="K52" s="6">
        <v>0</v>
      </c>
    </row>
    <row r="53" spans="1:11" x14ac:dyDescent="0.2">
      <c r="A53" s="5">
        <v>39342</v>
      </c>
      <c r="B53" s="6">
        <v>4</v>
      </c>
      <c r="C53" s="8" t="s">
        <v>38</v>
      </c>
      <c r="D53" s="8">
        <v>12</v>
      </c>
      <c r="E53" s="6" t="s">
        <v>20</v>
      </c>
      <c r="F53" s="6">
        <v>3</v>
      </c>
      <c r="G53" s="6">
        <v>0</v>
      </c>
      <c r="H53" s="86">
        <f t="shared" si="0"/>
        <v>0</v>
      </c>
      <c r="I53" s="6">
        <v>0</v>
      </c>
      <c r="J53" s="6">
        <v>0</v>
      </c>
      <c r="K53" s="6">
        <v>0</v>
      </c>
    </row>
    <row r="54" spans="1:11" x14ac:dyDescent="0.2">
      <c r="A54" s="5">
        <v>39349</v>
      </c>
      <c r="B54" s="6">
        <v>5</v>
      </c>
      <c r="C54" s="8" t="s">
        <v>38</v>
      </c>
      <c r="D54" s="8">
        <v>12</v>
      </c>
      <c r="E54" s="6" t="s">
        <v>20</v>
      </c>
      <c r="F54" s="6">
        <v>3</v>
      </c>
      <c r="G54" s="6">
        <v>0</v>
      </c>
      <c r="H54" s="86">
        <f t="shared" si="0"/>
        <v>0</v>
      </c>
      <c r="I54" s="6">
        <v>0</v>
      </c>
      <c r="J54" s="6">
        <v>0</v>
      </c>
      <c r="K54" s="6">
        <v>0</v>
      </c>
    </row>
    <row r="55" spans="1:11" x14ac:dyDescent="0.2">
      <c r="A55" s="5">
        <v>39342</v>
      </c>
      <c r="B55" s="6">
        <v>4</v>
      </c>
      <c r="C55" s="8" t="s">
        <v>124</v>
      </c>
      <c r="D55" s="8">
        <v>13</v>
      </c>
      <c r="E55" s="6" t="s">
        <v>21</v>
      </c>
      <c r="F55" s="6">
        <v>3</v>
      </c>
      <c r="G55" s="6">
        <v>0</v>
      </c>
      <c r="H55" s="86">
        <f t="shared" si="0"/>
        <v>0</v>
      </c>
      <c r="I55" s="6">
        <v>0</v>
      </c>
      <c r="J55" s="6">
        <v>0</v>
      </c>
      <c r="K55" s="6">
        <v>0</v>
      </c>
    </row>
    <row r="56" spans="1:11" x14ac:dyDescent="0.2">
      <c r="A56" s="5">
        <v>39349</v>
      </c>
      <c r="B56" s="6">
        <v>5</v>
      </c>
      <c r="C56" s="8" t="s">
        <v>124</v>
      </c>
      <c r="D56" s="8">
        <v>13</v>
      </c>
      <c r="E56" s="6" t="s">
        <v>21</v>
      </c>
      <c r="F56" s="6">
        <v>3</v>
      </c>
      <c r="G56" s="6">
        <v>0</v>
      </c>
      <c r="H56" s="86">
        <f t="shared" si="0"/>
        <v>0</v>
      </c>
      <c r="I56" s="6">
        <v>0</v>
      </c>
      <c r="J56" s="6">
        <v>1</v>
      </c>
      <c r="K56" s="6">
        <v>0</v>
      </c>
    </row>
    <row r="57" spans="1:11" ht="13.5" thickBot="1" x14ac:dyDescent="0.25">
      <c r="A57" s="5">
        <v>39355</v>
      </c>
      <c r="B57" s="6">
        <v>1</v>
      </c>
      <c r="C57" s="8" t="s">
        <v>123</v>
      </c>
      <c r="D57" s="8">
        <v>14</v>
      </c>
      <c r="E57" s="6" t="s">
        <v>22</v>
      </c>
      <c r="F57" s="80">
        <v>3</v>
      </c>
      <c r="G57" s="80">
        <v>3</v>
      </c>
      <c r="H57" s="87">
        <f t="shared" si="0"/>
        <v>1</v>
      </c>
      <c r="I57" s="80">
        <v>0</v>
      </c>
      <c r="J57" s="80">
        <v>0</v>
      </c>
      <c r="K57" s="80">
        <v>0</v>
      </c>
    </row>
    <row r="58" spans="1:11" x14ac:dyDescent="0.2">
      <c r="A58" s="6"/>
      <c r="B58" s="6"/>
      <c r="C58" s="6"/>
      <c r="D58" s="6"/>
      <c r="E58" s="6"/>
      <c r="F58" s="3">
        <f>SUM(F4:F57)</f>
        <v>191</v>
      </c>
      <c r="G58" s="3">
        <f>SUM(G4:G57)</f>
        <v>26</v>
      </c>
      <c r="H58" s="88">
        <f t="shared" si="0"/>
        <v>0.13612565445026178</v>
      </c>
      <c r="I58" s="3">
        <f t="shared" ref="I58:K58" si="1">SUM(I4:I57)</f>
        <v>58</v>
      </c>
      <c r="J58" s="3">
        <f t="shared" si="1"/>
        <v>4</v>
      </c>
      <c r="K58" s="3">
        <f t="shared" si="1"/>
        <v>12</v>
      </c>
    </row>
    <row r="59" spans="1:1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</sheetData>
  <sortState xmlns:xlrd2="http://schemas.microsoft.com/office/spreadsheetml/2017/richdata2" ref="A4:K57">
    <sortCondition ref="D4:D57"/>
  </sortState>
  <phoneticPr fontId="0" type="noConversion"/>
  <pageMargins left="0.75" right="0.75" top="1" bottom="1" header="0.5" footer="0.5"/>
  <pageSetup orientation="portrait" r:id="rId1"/>
  <headerFooter alignWithMargins="0"/>
  <ignoredErrors>
    <ignoredError sqref="H58" formula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52"/>
  <sheetViews>
    <sheetView workbookViewId="0">
      <pane ySplit="3" topLeftCell="A12" activePane="bottomLeft" state="frozen"/>
      <selection activeCell="B1" sqref="B1"/>
      <selection pane="bottomLeft" activeCell="G38" sqref="G38:G49"/>
    </sheetView>
  </sheetViews>
  <sheetFormatPr defaultRowHeight="12.75" x14ac:dyDescent="0.2"/>
  <cols>
    <col min="5" max="5" width="29.140625" bestFit="1" customWidth="1"/>
  </cols>
  <sheetData>
    <row r="1" spans="1:11" x14ac:dyDescent="0.2">
      <c r="A1" s="2"/>
      <c r="B1" s="2"/>
      <c r="C1" s="2" t="s">
        <v>25</v>
      </c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1" x14ac:dyDescent="0.2">
      <c r="A2" s="2" t="s">
        <v>0</v>
      </c>
      <c r="B2" s="2" t="s">
        <v>1</v>
      </c>
      <c r="C2" s="2" t="s">
        <v>26</v>
      </c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1" ht="13.5" thickBot="1" x14ac:dyDescent="0.25">
      <c r="A3" s="1"/>
      <c r="I3" s="1"/>
      <c r="J3" s="4" t="s">
        <v>6</v>
      </c>
      <c r="K3" s="4" t="s">
        <v>7</v>
      </c>
    </row>
    <row r="4" spans="1:11" x14ac:dyDescent="0.2">
      <c r="A4" s="5">
        <v>39349</v>
      </c>
      <c r="B4" s="6">
        <v>1</v>
      </c>
      <c r="C4" s="8" t="s">
        <v>27</v>
      </c>
      <c r="D4" s="8">
        <v>1</v>
      </c>
      <c r="E4" s="6" t="s">
        <v>9</v>
      </c>
      <c r="F4" s="6">
        <v>6</v>
      </c>
      <c r="G4" s="6">
        <v>0</v>
      </c>
      <c r="H4" s="86">
        <f>G4/F4</f>
        <v>0</v>
      </c>
      <c r="I4" s="6">
        <v>0</v>
      </c>
      <c r="J4" s="6">
        <v>0</v>
      </c>
      <c r="K4" s="6">
        <v>0</v>
      </c>
    </row>
    <row r="5" spans="1:11" x14ac:dyDescent="0.2">
      <c r="A5" s="5">
        <v>39349</v>
      </c>
      <c r="B5" s="6">
        <v>1</v>
      </c>
      <c r="C5" s="8" t="s">
        <v>28</v>
      </c>
      <c r="D5" s="8">
        <v>2</v>
      </c>
      <c r="E5" s="6" t="s">
        <v>10</v>
      </c>
      <c r="F5" s="6">
        <v>3</v>
      </c>
      <c r="G5" s="6">
        <v>1</v>
      </c>
      <c r="H5" s="86">
        <f t="shared" ref="H5:H52" si="0">G5/F5</f>
        <v>0.33333333333333331</v>
      </c>
      <c r="I5" s="6">
        <v>0</v>
      </c>
      <c r="J5" s="6">
        <v>0</v>
      </c>
      <c r="K5" s="6">
        <v>0</v>
      </c>
    </row>
    <row r="6" spans="1:11" x14ac:dyDescent="0.2">
      <c r="A6" s="5">
        <v>39349</v>
      </c>
      <c r="B6" s="6">
        <v>2</v>
      </c>
      <c r="C6" s="8" t="s">
        <v>28</v>
      </c>
      <c r="D6" s="8">
        <v>2</v>
      </c>
      <c r="E6" s="6" t="s">
        <v>10</v>
      </c>
      <c r="F6" s="6">
        <v>3</v>
      </c>
      <c r="G6" s="6">
        <v>1</v>
      </c>
      <c r="H6" s="86">
        <f t="shared" si="0"/>
        <v>0.33333333333333331</v>
      </c>
      <c r="I6" s="6">
        <v>4</v>
      </c>
      <c r="J6" s="6">
        <v>0</v>
      </c>
      <c r="K6" s="6">
        <v>0</v>
      </c>
    </row>
    <row r="7" spans="1:11" x14ac:dyDescent="0.2">
      <c r="A7" s="5">
        <v>39349</v>
      </c>
      <c r="B7" s="6">
        <v>3</v>
      </c>
      <c r="C7" s="8" t="s">
        <v>28</v>
      </c>
      <c r="D7" s="8">
        <v>2</v>
      </c>
      <c r="E7" s="6" t="s">
        <v>10</v>
      </c>
      <c r="F7" s="6">
        <v>3</v>
      </c>
      <c r="G7" s="6">
        <v>0</v>
      </c>
      <c r="H7" s="86">
        <f t="shared" si="0"/>
        <v>0</v>
      </c>
      <c r="I7" s="6">
        <v>0</v>
      </c>
      <c r="J7" s="6">
        <v>0</v>
      </c>
      <c r="K7" s="6">
        <v>1</v>
      </c>
    </row>
    <row r="8" spans="1:11" x14ac:dyDescent="0.2">
      <c r="A8" s="5">
        <v>39349</v>
      </c>
      <c r="B8" s="6">
        <v>1</v>
      </c>
      <c r="C8" s="8" t="s">
        <v>29</v>
      </c>
      <c r="D8" s="8">
        <v>3</v>
      </c>
      <c r="E8" s="6" t="s">
        <v>11</v>
      </c>
      <c r="F8" s="6">
        <v>2</v>
      </c>
      <c r="G8" s="6">
        <v>0</v>
      </c>
      <c r="H8" s="86">
        <f t="shared" si="0"/>
        <v>0</v>
      </c>
      <c r="I8" s="6">
        <v>6</v>
      </c>
      <c r="J8" s="6">
        <v>0</v>
      </c>
      <c r="K8" s="6">
        <v>0</v>
      </c>
    </row>
    <row r="9" spans="1:11" x14ac:dyDescent="0.2">
      <c r="A9" s="5">
        <v>39349</v>
      </c>
      <c r="B9" s="6">
        <v>2</v>
      </c>
      <c r="C9" s="8" t="s">
        <v>29</v>
      </c>
      <c r="D9" s="8">
        <v>3</v>
      </c>
      <c r="E9" s="6" t="s">
        <v>11</v>
      </c>
      <c r="F9" s="6">
        <v>2</v>
      </c>
      <c r="G9" s="6">
        <v>0</v>
      </c>
      <c r="H9" s="86">
        <f t="shared" si="0"/>
        <v>0</v>
      </c>
      <c r="I9" s="6">
        <v>0</v>
      </c>
      <c r="J9" s="6">
        <v>0</v>
      </c>
      <c r="K9" s="6">
        <v>0</v>
      </c>
    </row>
    <row r="10" spans="1:11" x14ac:dyDescent="0.2">
      <c r="A10" s="5">
        <v>39349</v>
      </c>
      <c r="B10" s="6">
        <v>3</v>
      </c>
      <c r="C10" s="8" t="s">
        <v>29</v>
      </c>
      <c r="D10" s="8">
        <v>3</v>
      </c>
      <c r="E10" s="6" t="s">
        <v>11</v>
      </c>
      <c r="F10" s="6">
        <v>2</v>
      </c>
      <c r="G10" s="6">
        <v>1</v>
      </c>
      <c r="H10" s="86">
        <f t="shared" si="0"/>
        <v>0.5</v>
      </c>
      <c r="I10" s="6">
        <v>1</v>
      </c>
      <c r="J10" s="6">
        <v>0</v>
      </c>
      <c r="K10" s="6">
        <v>0</v>
      </c>
    </row>
    <row r="11" spans="1:11" x14ac:dyDescent="0.2">
      <c r="A11" s="5">
        <v>39349</v>
      </c>
      <c r="B11" s="6">
        <v>4</v>
      </c>
      <c r="C11" s="8" t="s">
        <v>29</v>
      </c>
      <c r="D11" s="8">
        <v>3</v>
      </c>
      <c r="E11" s="6" t="s">
        <v>11</v>
      </c>
      <c r="F11" s="6">
        <v>2</v>
      </c>
      <c r="G11" s="6">
        <v>1</v>
      </c>
      <c r="H11" s="86">
        <f t="shared" si="0"/>
        <v>0.5</v>
      </c>
      <c r="I11" s="6">
        <v>1</v>
      </c>
      <c r="J11" s="6">
        <v>0</v>
      </c>
      <c r="K11" s="6">
        <v>0</v>
      </c>
    </row>
    <row r="12" spans="1:11" x14ac:dyDescent="0.2">
      <c r="A12" s="5">
        <v>39349</v>
      </c>
      <c r="B12" s="6">
        <v>5</v>
      </c>
      <c r="C12" s="8" t="s">
        <v>29</v>
      </c>
      <c r="D12" s="8">
        <v>3</v>
      </c>
      <c r="E12" s="6" t="s">
        <v>11</v>
      </c>
      <c r="F12" s="6">
        <v>2</v>
      </c>
      <c r="G12" s="6">
        <v>0</v>
      </c>
      <c r="H12" s="86">
        <f t="shared" si="0"/>
        <v>0</v>
      </c>
      <c r="I12" s="6">
        <v>0</v>
      </c>
      <c r="J12" s="6">
        <v>0</v>
      </c>
      <c r="K12" s="6">
        <v>0</v>
      </c>
    </row>
    <row r="13" spans="1:11" x14ac:dyDescent="0.2">
      <c r="A13" s="5">
        <v>39335</v>
      </c>
      <c r="B13" s="6">
        <v>1</v>
      </c>
      <c r="C13" s="8" t="s">
        <v>30</v>
      </c>
      <c r="D13" s="8">
        <v>4</v>
      </c>
      <c r="E13" s="6" t="s">
        <v>12</v>
      </c>
      <c r="F13" s="6">
        <v>5</v>
      </c>
      <c r="G13" s="6">
        <v>0</v>
      </c>
      <c r="H13" s="86">
        <f t="shared" si="0"/>
        <v>0</v>
      </c>
      <c r="I13" s="6">
        <v>2</v>
      </c>
      <c r="J13" s="6">
        <v>0</v>
      </c>
      <c r="K13" s="6">
        <v>0</v>
      </c>
    </row>
    <row r="14" spans="1:11" x14ac:dyDescent="0.2">
      <c r="A14" s="5">
        <v>39335</v>
      </c>
      <c r="B14" s="6">
        <v>2</v>
      </c>
      <c r="C14" s="8" t="s">
        <v>30</v>
      </c>
      <c r="D14" s="8">
        <v>4</v>
      </c>
      <c r="E14" s="6" t="s">
        <v>12</v>
      </c>
      <c r="F14" s="6">
        <v>5</v>
      </c>
      <c r="G14" s="6">
        <v>1</v>
      </c>
      <c r="H14" s="86">
        <f t="shared" si="0"/>
        <v>0.2</v>
      </c>
      <c r="I14" s="6">
        <v>3</v>
      </c>
      <c r="J14" s="6">
        <v>0</v>
      </c>
      <c r="K14" s="6">
        <v>0</v>
      </c>
    </row>
    <row r="15" spans="1:11" x14ac:dyDescent="0.2">
      <c r="A15" s="5">
        <v>39335</v>
      </c>
      <c r="B15" s="6">
        <v>3</v>
      </c>
      <c r="C15" s="8" t="s">
        <v>30</v>
      </c>
      <c r="D15" s="8">
        <v>4</v>
      </c>
      <c r="E15" s="6" t="s">
        <v>12</v>
      </c>
      <c r="F15" s="6">
        <v>5</v>
      </c>
      <c r="G15" s="6">
        <v>1</v>
      </c>
      <c r="H15" s="86">
        <f t="shared" si="0"/>
        <v>0.2</v>
      </c>
      <c r="I15" s="6">
        <v>4</v>
      </c>
      <c r="J15" s="6">
        <v>0</v>
      </c>
      <c r="K15" s="6">
        <v>0</v>
      </c>
    </row>
    <row r="16" spans="1:11" x14ac:dyDescent="0.2">
      <c r="A16" s="5">
        <v>39335</v>
      </c>
      <c r="B16" s="6">
        <v>4</v>
      </c>
      <c r="C16" s="8" t="s">
        <v>30</v>
      </c>
      <c r="D16" s="8">
        <v>4</v>
      </c>
      <c r="E16" s="6" t="s">
        <v>12</v>
      </c>
      <c r="F16" s="6">
        <v>5</v>
      </c>
      <c r="G16" s="6">
        <v>2</v>
      </c>
      <c r="H16" s="86">
        <f t="shared" si="0"/>
        <v>0.4</v>
      </c>
      <c r="I16" s="6">
        <v>1</v>
      </c>
      <c r="J16" s="6">
        <v>1</v>
      </c>
      <c r="K16" s="6">
        <v>0</v>
      </c>
    </row>
    <row r="17" spans="1:11" x14ac:dyDescent="0.2">
      <c r="A17" s="5">
        <v>39335</v>
      </c>
      <c r="B17" s="6">
        <v>5</v>
      </c>
      <c r="C17" s="8" t="s">
        <v>30</v>
      </c>
      <c r="D17" s="8">
        <v>4</v>
      </c>
      <c r="E17" s="6" t="s">
        <v>12</v>
      </c>
      <c r="F17" s="6">
        <v>5</v>
      </c>
      <c r="G17" s="6">
        <v>0</v>
      </c>
      <c r="H17" s="86">
        <f t="shared" si="0"/>
        <v>0</v>
      </c>
      <c r="I17" s="6">
        <v>1</v>
      </c>
      <c r="J17" s="6">
        <v>0</v>
      </c>
      <c r="K17" s="6">
        <v>0</v>
      </c>
    </row>
    <row r="18" spans="1:11" x14ac:dyDescent="0.2">
      <c r="A18" s="5">
        <v>39328</v>
      </c>
      <c r="B18" s="6">
        <v>1</v>
      </c>
      <c r="C18" s="8" t="s">
        <v>31</v>
      </c>
      <c r="D18" s="8">
        <v>5</v>
      </c>
      <c r="E18" s="6" t="s">
        <v>13</v>
      </c>
      <c r="F18" s="6">
        <v>2</v>
      </c>
      <c r="G18" s="6">
        <v>0</v>
      </c>
      <c r="H18" s="86">
        <f t="shared" si="0"/>
        <v>0</v>
      </c>
      <c r="I18" s="6">
        <v>0</v>
      </c>
      <c r="J18" s="6">
        <v>0</v>
      </c>
      <c r="K18" s="6">
        <v>0</v>
      </c>
    </row>
    <row r="19" spans="1:11" x14ac:dyDescent="0.2">
      <c r="A19" s="5">
        <v>39328</v>
      </c>
      <c r="B19" s="6">
        <v>2</v>
      </c>
      <c r="C19" s="8" t="s">
        <v>31</v>
      </c>
      <c r="D19" s="8">
        <v>5</v>
      </c>
      <c r="E19" s="6" t="s">
        <v>13</v>
      </c>
      <c r="F19" s="6">
        <v>2</v>
      </c>
      <c r="G19" s="6">
        <v>1</v>
      </c>
      <c r="H19" s="86">
        <f t="shared" si="0"/>
        <v>0.5</v>
      </c>
      <c r="I19" s="6">
        <v>0</v>
      </c>
      <c r="J19" s="6">
        <v>0</v>
      </c>
      <c r="K19" s="6">
        <v>0</v>
      </c>
    </row>
    <row r="20" spans="1:11" x14ac:dyDescent="0.2">
      <c r="A20" s="5">
        <v>39335</v>
      </c>
      <c r="B20" s="6">
        <v>3</v>
      </c>
      <c r="C20" s="8" t="s">
        <v>31</v>
      </c>
      <c r="D20" s="8">
        <v>5</v>
      </c>
      <c r="E20" s="6" t="s">
        <v>13</v>
      </c>
      <c r="F20" s="6">
        <v>2</v>
      </c>
      <c r="G20" s="6">
        <v>2</v>
      </c>
      <c r="H20" s="86">
        <f t="shared" si="0"/>
        <v>1</v>
      </c>
      <c r="I20" s="6">
        <v>5</v>
      </c>
      <c r="J20" s="6">
        <v>0</v>
      </c>
      <c r="K20" s="6">
        <v>0</v>
      </c>
    </row>
    <row r="21" spans="1:11" x14ac:dyDescent="0.2">
      <c r="A21" s="5">
        <v>39335</v>
      </c>
      <c r="B21" s="6">
        <v>4</v>
      </c>
      <c r="C21" s="8" t="s">
        <v>31</v>
      </c>
      <c r="D21" s="8">
        <v>5</v>
      </c>
      <c r="E21" s="6" t="s">
        <v>13</v>
      </c>
      <c r="F21" s="6">
        <v>2</v>
      </c>
      <c r="G21" s="6">
        <v>1</v>
      </c>
      <c r="H21" s="86">
        <f t="shared" si="0"/>
        <v>0.5</v>
      </c>
      <c r="I21" s="6">
        <v>2</v>
      </c>
      <c r="J21" s="6">
        <v>0</v>
      </c>
      <c r="K21" s="6">
        <v>0</v>
      </c>
    </row>
    <row r="22" spans="1:11" x14ac:dyDescent="0.2">
      <c r="A22" s="5">
        <v>39335</v>
      </c>
      <c r="B22" s="6">
        <v>5</v>
      </c>
      <c r="C22" s="8" t="s">
        <v>31</v>
      </c>
      <c r="D22" s="8">
        <v>5</v>
      </c>
      <c r="E22" s="6" t="s">
        <v>13</v>
      </c>
      <c r="F22" s="6">
        <v>2</v>
      </c>
      <c r="G22" s="6">
        <v>0</v>
      </c>
      <c r="H22" s="86">
        <f t="shared" si="0"/>
        <v>0</v>
      </c>
      <c r="I22" s="6">
        <v>1</v>
      </c>
      <c r="J22" s="6">
        <v>0</v>
      </c>
      <c r="K22" s="6">
        <v>0</v>
      </c>
    </row>
    <row r="23" spans="1:11" x14ac:dyDescent="0.2">
      <c r="A23" s="5">
        <v>39342</v>
      </c>
      <c r="B23" s="6">
        <v>1</v>
      </c>
      <c r="C23" s="8" t="s">
        <v>32</v>
      </c>
      <c r="D23" s="8">
        <v>6</v>
      </c>
      <c r="E23" s="6" t="s">
        <v>14</v>
      </c>
      <c r="F23" s="6">
        <v>4</v>
      </c>
      <c r="G23" s="6">
        <v>0</v>
      </c>
      <c r="H23" s="86">
        <f t="shared" si="0"/>
        <v>0</v>
      </c>
      <c r="I23" s="6">
        <v>0</v>
      </c>
      <c r="J23" s="6">
        <v>0</v>
      </c>
      <c r="K23" s="6">
        <v>0</v>
      </c>
    </row>
    <row r="24" spans="1:11" x14ac:dyDescent="0.2">
      <c r="A24" s="5">
        <v>39342</v>
      </c>
      <c r="B24" s="6">
        <v>2</v>
      </c>
      <c r="C24" s="8" t="s">
        <v>32</v>
      </c>
      <c r="D24" s="8">
        <v>6</v>
      </c>
      <c r="E24" s="6" t="s">
        <v>14</v>
      </c>
      <c r="F24" s="6">
        <v>4</v>
      </c>
      <c r="G24" s="6">
        <v>1</v>
      </c>
      <c r="H24" s="86">
        <f t="shared" si="0"/>
        <v>0.25</v>
      </c>
      <c r="I24" s="6">
        <v>1</v>
      </c>
      <c r="J24" s="6">
        <v>0</v>
      </c>
      <c r="K24" s="6">
        <v>0</v>
      </c>
    </row>
    <row r="25" spans="1:11" x14ac:dyDescent="0.2">
      <c r="A25" s="5">
        <v>39342</v>
      </c>
      <c r="B25" s="6">
        <v>3</v>
      </c>
      <c r="C25" s="8" t="s">
        <v>32</v>
      </c>
      <c r="D25" s="8">
        <v>6</v>
      </c>
      <c r="E25" s="6" t="s">
        <v>14</v>
      </c>
      <c r="F25" s="6">
        <v>4</v>
      </c>
      <c r="G25" s="6">
        <v>4</v>
      </c>
      <c r="H25" s="86">
        <f t="shared" si="0"/>
        <v>1</v>
      </c>
      <c r="I25" s="6">
        <v>9</v>
      </c>
      <c r="J25" s="6">
        <v>0</v>
      </c>
      <c r="K25" s="6">
        <v>0</v>
      </c>
    </row>
    <row r="26" spans="1:11" x14ac:dyDescent="0.2">
      <c r="A26" s="5">
        <v>39342</v>
      </c>
      <c r="B26" s="6">
        <v>4</v>
      </c>
      <c r="C26" s="8" t="s">
        <v>32</v>
      </c>
      <c r="D26" s="8">
        <v>6</v>
      </c>
      <c r="E26" s="6" t="s">
        <v>14</v>
      </c>
      <c r="F26" s="6">
        <v>4</v>
      </c>
      <c r="G26" s="6">
        <v>0</v>
      </c>
      <c r="H26" s="86">
        <f t="shared" si="0"/>
        <v>0</v>
      </c>
      <c r="I26" s="6">
        <v>3</v>
      </c>
      <c r="J26" s="6">
        <v>0</v>
      </c>
      <c r="K26" s="6">
        <v>0</v>
      </c>
    </row>
    <row r="27" spans="1:11" x14ac:dyDescent="0.2">
      <c r="A27" s="5">
        <v>39342</v>
      </c>
      <c r="B27" s="6">
        <v>5</v>
      </c>
      <c r="C27" s="8" t="s">
        <v>32</v>
      </c>
      <c r="D27" s="8">
        <v>6</v>
      </c>
      <c r="E27" s="6" t="s">
        <v>14</v>
      </c>
      <c r="F27" s="6">
        <v>4</v>
      </c>
      <c r="G27" s="6">
        <v>0</v>
      </c>
      <c r="H27" s="86">
        <f t="shared" si="0"/>
        <v>0</v>
      </c>
      <c r="I27" s="6">
        <v>0</v>
      </c>
      <c r="J27" s="6">
        <v>0</v>
      </c>
      <c r="K27" s="6">
        <v>0</v>
      </c>
    </row>
    <row r="28" spans="1:11" x14ac:dyDescent="0.2">
      <c r="A28" s="5">
        <v>39321</v>
      </c>
      <c r="B28" s="6">
        <v>1</v>
      </c>
      <c r="C28" s="8" t="s">
        <v>33</v>
      </c>
      <c r="D28" s="8">
        <v>7</v>
      </c>
      <c r="E28" s="6" t="s">
        <v>15</v>
      </c>
      <c r="F28" s="6">
        <v>3</v>
      </c>
      <c r="G28" s="6">
        <v>0</v>
      </c>
      <c r="H28" s="86">
        <f t="shared" si="0"/>
        <v>0</v>
      </c>
      <c r="I28" s="6">
        <v>0</v>
      </c>
      <c r="J28" s="6">
        <v>0</v>
      </c>
      <c r="K28" s="6">
        <v>0</v>
      </c>
    </row>
    <row r="29" spans="1:11" x14ac:dyDescent="0.2">
      <c r="A29" s="5">
        <v>39321</v>
      </c>
      <c r="B29" s="6">
        <v>2</v>
      </c>
      <c r="C29" s="8" t="s">
        <v>33</v>
      </c>
      <c r="D29" s="8">
        <v>7</v>
      </c>
      <c r="E29" s="6" t="s">
        <v>15</v>
      </c>
      <c r="F29" s="6">
        <v>3</v>
      </c>
      <c r="G29" s="6">
        <v>1</v>
      </c>
      <c r="H29" s="86">
        <f t="shared" si="0"/>
        <v>0.33333333333333331</v>
      </c>
      <c r="I29" s="6">
        <v>3</v>
      </c>
      <c r="J29" s="6">
        <v>1</v>
      </c>
      <c r="K29" s="6">
        <v>0</v>
      </c>
    </row>
    <row r="30" spans="1:11" x14ac:dyDescent="0.2">
      <c r="A30" s="5">
        <v>39321</v>
      </c>
      <c r="B30" s="6">
        <v>3</v>
      </c>
      <c r="C30" s="8" t="s">
        <v>33</v>
      </c>
      <c r="D30" s="8">
        <v>7</v>
      </c>
      <c r="E30" s="6" t="s">
        <v>15</v>
      </c>
      <c r="F30" s="6">
        <v>3</v>
      </c>
      <c r="G30" s="6">
        <v>3</v>
      </c>
      <c r="H30" s="86">
        <f t="shared" si="0"/>
        <v>1</v>
      </c>
      <c r="I30" s="6">
        <v>3</v>
      </c>
      <c r="J30" s="6">
        <v>0</v>
      </c>
      <c r="K30" s="6">
        <v>0</v>
      </c>
    </row>
    <row r="31" spans="1:11" x14ac:dyDescent="0.2">
      <c r="A31" s="5">
        <v>39321</v>
      </c>
      <c r="B31" s="6">
        <v>4</v>
      </c>
      <c r="C31" s="8" t="s">
        <v>33</v>
      </c>
      <c r="D31" s="8">
        <v>7</v>
      </c>
      <c r="E31" s="6" t="s">
        <v>15</v>
      </c>
      <c r="F31" s="6">
        <v>3</v>
      </c>
      <c r="G31" s="6">
        <v>1</v>
      </c>
      <c r="H31" s="86">
        <f t="shared" si="0"/>
        <v>0.33333333333333331</v>
      </c>
      <c r="I31" s="6">
        <v>2</v>
      </c>
      <c r="J31" s="6">
        <v>0</v>
      </c>
      <c r="K31" s="6">
        <v>0</v>
      </c>
    </row>
    <row r="32" spans="1:11" x14ac:dyDescent="0.2">
      <c r="A32" s="5">
        <v>39321</v>
      </c>
      <c r="B32" s="6">
        <v>5</v>
      </c>
      <c r="C32" s="8" t="s">
        <v>33</v>
      </c>
      <c r="D32" s="8">
        <v>7</v>
      </c>
      <c r="E32" s="6" t="s">
        <v>15</v>
      </c>
      <c r="F32" s="6">
        <v>3</v>
      </c>
      <c r="G32" s="6">
        <v>0</v>
      </c>
      <c r="H32" s="86">
        <f t="shared" si="0"/>
        <v>0</v>
      </c>
      <c r="I32" s="6">
        <v>0</v>
      </c>
      <c r="J32" s="6">
        <v>0</v>
      </c>
      <c r="K32" s="6">
        <v>2</v>
      </c>
    </row>
    <row r="33" spans="1:11" x14ac:dyDescent="0.2">
      <c r="A33" s="5">
        <v>39342</v>
      </c>
      <c r="B33" s="6">
        <v>1</v>
      </c>
      <c r="C33" s="8" t="s">
        <v>34</v>
      </c>
      <c r="D33" s="8">
        <v>8</v>
      </c>
      <c r="E33" s="6" t="s">
        <v>16</v>
      </c>
      <c r="F33" s="6">
        <v>3</v>
      </c>
      <c r="G33" s="6">
        <v>0</v>
      </c>
      <c r="H33" s="86">
        <f t="shared" si="0"/>
        <v>0</v>
      </c>
      <c r="I33" s="6">
        <v>5</v>
      </c>
      <c r="J33" s="6">
        <v>0</v>
      </c>
      <c r="K33" s="6">
        <v>0</v>
      </c>
    </row>
    <row r="34" spans="1:11" x14ac:dyDescent="0.2">
      <c r="A34" s="5">
        <v>39342</v>
      </c>
      <c r="B34" s="6">
        <v>2</v>
      </c>
      <c r="C34" s="8" t="s">
        <v>34</v>
      </c>
      <c r="D34" s="8">
        <v>8</v>
      </c>
      <c r="E34" s="6" t="s">
        <v>16</v>
      </c>
      <c r="F34" s="6">
        <v>3</v>
      </c>
      <c r="G34" s="6">
        <v>1</v>
      </c>
      <c r="H34" s="86">
        <f t="shared" si="0"/>
        <v>0.33333333333333331</v>
      </c>
      <c r="I34" s="6">
        <v>2</v>
      </c>
      <c r="J34" s="6">
        <v>0</v>
      </c>
      <c r="K34" s="6">
        <v>1</v>
      </c>
    </row>
    <row r="35" spans="1:11" x14ac:dyDescent="0.2">
      <c r="A35" s="5">
        <v>39342</v>
      </c>
      <c r="B35" s="6">
        <v>3</v>
      </c>
      <c r="C35" s="8" t="s">
        <v>34</v>
      </c>
      <c r="D35" s="8">
        <v>8</v>
      </c>
      <c r="E35" s="6" t="s">
        <v>16</v>
      </c>
      <c r="F35" s="6">
        <v>3</v>
      </c>
      <c r="G35" s="6">
        <v>3</v>
      </c>
      <c r="H35" s="86">
        <f t="shared" si="0"/>
        <v>1</v>
      </c>
      <c r="I35" s="6">
        <v>9</v>
      </c>
      <c r="J35" s="6">
        <v>0</v>
      </c>
      <c r="K35" s="6">
        <v>1</v>
      </c>
    </row>
    <row r="36" spans="1:11" x14ac:dyDescent="0.2">
      <c r="A36" s="5">
        <v>39342</v>
      </c>
      <c r="B36" s="6">
        <v>4</v>
      </c>
      <c r="C36" s="8" t="s">
        <v>34</v>
      </c>
      <c r="D36" s="8">
        <v>8</v>
      </c>
      <c r="E36" s="6" t="s">
        <v>16</v>
      </c>
      <c r="F36" s="6">
        <v>3</v>
      </c>
      <c r="G36" s="6">
        <v>9</v>
      </c>
      <c r="H36" s="86">
        <f t="shared" si="0"/>
        <v>3</v>
      </c>
      <c r="I36" s="6">
        <v>20</v>
      </c>
      <c r="J36" s="6">
        <v>0</v>
      </c>
      <c r="K36" s="6">
        <v>3</v>
      </c>
    </row>
    <row r="37" spans="1:11" x14ac:dyDescent="0.2">
      <c r="A37" s="5">
        <v>39349</v>
      </c>
      <c r="B37" s="6">
        <v>5</v>
      </c>
      <c r="C37" s="8" t="s">
        <v>34</v>
      </c>
      <c r="D37" s="8">
        <v>8</v>
      </c>
      <c r="E37" s="6" t="s">
        <v>16</v>
      </c>
      <c r="F37" s="6">
        <v>3</v>
      </c>
      <c r="G37" s="6">
        <v>4</v>
      </c>
      <c r="H37" s="86">
        <f t="shared" si="0"/>
        <v>1.3333333333333333</v>
      </c>
      <c r="I37" s="6">
        <v>1</v>
      </c>
      <c r="J37" s="6">
        <v>1</v>
      </c>
      <c r="K37" s="6">
        <v>2</v>
      </c>
    </row>
    <row r="38" spans="1:11" x14ac:dyDescent="0.2">
      <c r="A38" s="5">
        <v>39335</v>
      </c>
      <c r="B38" s="6">
        <v>1</v>
      </c>
      <c r="C38" s="8" t="s">
        <v>35</v>
      </c>
      <c r="D38" s="8">
        <v>9</v>
      </c>
      <c r="E38" s="6" t="s">
        <v>17</v>
      </c>
      <c r="F38" s="6">
        <v>4</v>
      </c>
      <c r="G38" s="6">
        <v>6</v>
      </c>
      <c r="H38" s="86">
        <f t="shared" si="0"/>
        <v>1.5</v>
      </c>
      <c r="I38" s="6">
        <v>5</v>
      </c>
      <c r="J38" s="6">
        <v>0</v>
      </c>
      <c r="K38" s="6">
        <v>0</v>
      </c>
    </row>
    <row r="39" spans="1:11" x14ac:dyDescent="0.2">
      <c r="A39" s="5">
        <v>39335</v>
      </c>
      <c r="B39" s="6">
        <v>2</v>
      </c>
      <c r="C39" s="8" t="s">
        <v>35</v>
      </c>
      <c r="D39" s="8">
        <v>9</v>
      </c>
      <c r="E39" s="6" t="s">
        <v>17</v>
      </c>
      <c r="F39" s="6">
        <v>4</v>
      </c>
      <c r="G39" s="6">
        <v>8</v>
      </c>
      <c r="H39" s="86">
        <f t="shared" si="0"/>
        <v>2</v>
      </c>
      <c r="I39" s="6">
        <v>8</v>
      </c>
      <c r="J39" s="6">
        <v>1</v>
      </c>
      <c r="K39" s="6">
        <v>1</v>
      </c>
    </row>
    <row r="40" spans="1:11" x14ac:dyDescent="0.2">
      <c r="A40" s="5">
        <v>39342</v>
      </c>
      <c r="B40" s="6">
        <v>3</v>
      </c>
      <c r="C40" s="8" t="s">
        <v>35</v>
      </c>
      <c r="D40" s="8">
        <v>9</v>
      </c>
      <c r="E40" s="6" t="s">
        <v>17</v>
      </c>
      <c r="F40" s="6">
        <v>4</v>
      </c>
      <c r="G40" s="6">
        <v>1</v>
      </c>
      <c r="H40" s="86">
        <f t="shared" si="0"/>
        <v>0.25</v>
      </c>
      <c r="I40" s="6">
        <v>1</v>
      </c>
      <c r="J40" s="6">
        <v>0</v>
      </c>
      <c r="K40" s="6">
        <v>3</v>
      </c>
    </row>
    <row r="41" spans="1:11" x14ac:dyDescent="0.2">
      <c r="A41" s="5">
        <v>39328</v>
      </c>
      <c r="B41" s="6">
        <v>1</v>
      </c>
      <c r="C41" s="8" t="s">
        <v>36</v>
      </c>
      <c r="D41" s="8">
        <v>10</v>
      </c>
      <c r="E41" s="6" t="s">
        <v>18</v>
      </c>
      <c r="F41" s="6">
        <v>5</v>
      </c>
      <c r="G41" s="6">
        <v>3</v>
      </c>
      <c r="H41" s="86">
        <f t="shared" si="0"/>
        <v>0.6</v>
      </c>
      <c r="I41" s="6">
        <v>1</v>
      </c>
      <c r="J41" s="6">
        <v>0</v>
      </c>
      <c r="K41" s="6">
        <v>0</v>
      </c>
    </row>
    <row r="42" spans="1:11" x14ac:dyDescent="0.2">
      <c r="A42" s="5">
        <v>39328</v>
      </c>
      <c r="B42" s="6">
        <v>2</v>
      </c>
      <c r="C42" s="8" t="s">
        <v>36</v>
      </c>
      <c r="D42" s="8">
        <v>10</v>
      </c>
      <c r="E42" s="6" t="s">
        <v>18</v>
      </c>
      <c r="F42" s="6">
        <v>5</v>
      </c>
      <c r="G42" s="6">
        <v>4</v>
      </c>
      <c r="H42" s="86">
        <f t="shared" si="0"/>
        <v>0.8</v>
      </c>
      <c r="I42" s="6">
        <v>3</v>
      </c>
      <c r="J42" s="6">
        <v>0</v>
      </c>
      <c r="K42" s="6">
        <v>0</v>
      </c>
    </row>
    <row r="43" spans="1:11" x14ac:dyDescent="0.2">
      <c r="A43" s="5">
        <v>39328</v>
      </c>
      <c r="B43" s="6">
        <v>3</v>
      </c>
      <c r="C43" s="8" t="s">
        <v>36</v>
      </c>
      <c r="D43" s="8">
        <v>10</v>
      </c>
      <c r="E43" s="6" t="s">
        <v>18</v>
      </c>
      <c r="F43" s="6">
        <v>5</v>
      </c>
      <c r="G43" s="6">
        <v>1</v>
      </c>
      <c r="H43" s="86">
        <f t="shared" si="0"/>
        <v>0.2</v>
      </c>
      <c r="I43" s="6">
        <v>2</v>
      </c>
      <c r="J43" s="6">
        <v>1</v>
      </c>
      <c r="K43" s="6">
        <v>0</v>
      </c>
    </row>
    <row r="44" spans="1:11" x14ac:dyDescent="0.2">
      <c r="A44" s="5">
        <v>39333</v>
      </c>
      <c r="B44" s="6">
        <v>1</v>
      </c>
      <c r="C44" s="8" t="s">
        <v>37</v>
      </c>
      <c r="D44" s="8">
        <v>11</v>
      </c>
      <c r="E44" s="6" t="s">
        <v>19</v>
      </c>
      <c r="F44" s="6">
        <v>4</v>
      </c>
      <c r="G44" s="6">
        <v>3</v>
      </c>
      <c r="H44" s="86">
        <f t="shared" si="0"/>
        <v>0.75</v>
      </c>
      <c r="I44" s="6">
        <v>3</v>
      </c>
      <c r="J44" s="6">
        <v>0</v>
      </c>
      <c r="K44" s="6">
        <v>0</v>
      </c>
    </row>
    <row r="45" spans="1:11" x14ac:dyDescent="0.2">
      <c r="A45" s="5">
        <v>39328</v>
      </c>
      <c r="B45" s="6">
        <v>2</v>
      </c>
      <c r="C45" s="8" t="s">
        <v>37</v>
      </c>
      <c r="D45" s="8">
        <v>11</v>
      </c>
      <c r="E45" s="6" t="s">
        <v>19</v>
      </c>
      <c r="F45" s="6">
        <v>4</v>
      </c>
      <c r="G45" s="6">
        <v>4</v>
      </c>
      <c r="H45" s="86">
        <f t="shared" si="0"/>
        <v>1</v>
      </c>
      <c r="I45" s="6">
        <v>8</v>
      </c>
      <c r="J45" s="6">
        <v>0</v>
      </c>
      <c r="K45" s="6">
        <v>0</v>
      </c>
    </row>
    <row r="46" spans="1:11" x14ac:dyDescent="0.2">
      <c r="A46" s="5">
        <v>39328</v>
      </c>
      <c r="B46" s="6">
        <v>3</v>
      </c>
      <c r="C46" s="8" t="s">
        <v>37</v>
      </c>
      <c r="D46" s="8">
        <v>11</v>
      </c>
      <c r="E46" s="6" t="s">
        <v>19</v>
      </c>
      <c r="F46" s="6">
        <v>4</v>
      </c>
      <c r="G46" s="6">
        <v>1</v>
      </c>
      <c r="H46" s="86">
        <f t="shared" si="0"/>
        <v>0.25</v>
      </c>
      <c r="I46" s="6">
        <v>2</v>
      </c>
      <c r="J46" s="6">
        <v>0</v>
      </c>
      <c r="K46" s="6">
        <v>0</v>
      </c>
    </row>
    <row r="47" spans="1:11" x14ac:dyDescent="0.2">
      <c r="A47" s="5">
        <v>39321</v>
      </c>
      <c r="B47" s="6">
        <v>1</v>
      </c>
      <c r="C47" s="8" t="s">
        <v>38</v>
      </c>
      <c r="D47" s="8">
        <v>12</v>
      </c>
      <c r="E47" s="6" t="s">
        <v>20</v>
      </c>
      <c r="F47" s="6">
        <v>3</v>
      </c>
      <c r="G47" s="6">
        <v>0</v>
      </c>
      <c r="H47" s="86">
        <f t="shared" si="0"/>
        <v>0</v>
      </c>
      <c r="I47" s="6">
        <v>0</v>
      </c>
      <c r="J47" s="6">
        <v>0</v>
      </c>
      <c r="K47" s="6">
        <v>1</v>
      </c>
    </row>
    <row r="48" spans="1:11" x14ac:dyDescent="0.2">
      <c r="A48" s="5">
        <v>39321</v>
      </c>
      <c r="B48" s="6">
        <v>2</v>
      </c>
      <c r="C48" s="8" t="s">
        <v>38</v>
      </c>
      <c r="D48" s="8">
        <v>12</v>
      </c>
      <c r="E48" s="6" t="s">
        <v>20</v>
      </c>
      <c r="F48" s="6">
        <v>3</v>
      </c>
      <c r="G48" s="6">
        <v>3</v>
      </c>
      <c r="H48" s="86">
        <f t="shared" si="0"/>
        <v>1</v>
      </c>
      <c r="I48" s="6">
        <v>2</v>
      </c>
      <c r="J48" s="6">
        <v>0</v>
      </c>
      <c r="K48" s="6">
        <v>0</v>
      </c>
    </row>
    <row r="49" spans="1:11" x14ac:dyDescent="0.2">
      <c r="A49" s="5">
        <v>39321</v>
      </c>
      <c r="B49" s="6">
        <v>3</v>
      </c>
      <c r="C49" s="8" t="s">
        <v>38</v>
      </c>
      <c r="D49" s="8">
        <v>12</v>
      </c>
      <c r="E49" s="6" t="s">
        <v>20</v>
      </c>
      <c r="F49" s="6">
        <v>3</v>
      </c>
      <c r="G49" s="6">
        <v>0</v>
      </c>
      <c r="H49" s="86">
        <f t="shared" si="0"/>
        <v>0</v>
      </c>
      <c r="I49" s="6">
        <v>0</v>
      </c>
      <c r="J49" s="6">
        <v>0</v>
      </c>
      <c r="K49" s="6">
        <v>0</v>
      </c>
    </row>
    <row r="50" spans="1:11" x14ac:dyDescent="0.2">
      <c r="A50" s="5">
        <v>39349</v>
      </c>
      <c r="B50" s="6">
        <v>1</v>
      </c>
      <c r="C50" s="8" t="s">
        <v>124</v>
      </c>
      <c r="D50" s="8">
        <v>13</v>
      </c>
      <c r="E50" s="6" t="s">
        <v>21</v>
      </c>
      <c r="F50" s="6">
        <v>3</v>
      </c>
      <c r="G50" s="6">
        <v>0</v>
      </c>
      <c r="H50" s="86">
        <f t="shared" si="0"/>
        <v>0</v>
      </c>
      <c r="I50" s="6">
        <v>1</v>
      </c>
      <c r="J50" s="6">
        <v>0</v>
      </c>
      <c r="K50" s="6">
        <v>0</v>
      </c>
    </row>
    <row r="51" spans="1:11" ht="13.5" thickBot="1" x14ac:dyDescent="0.25">
      <c r="A51" s="5">
        <v>39349</v>
      </c>
      <c r="B51" s="6">
        <v>1</v>
      </c>
      <c r="C51" s="8" t="s">
        <v>123</v>
      </c>
      <c r="D51" s="8">
        <v>14</v>
      </c>
      <c r="E51" s="6" t="s">
        <v>22</v>
      </c>
      <c r="F51" s="80">
        <v>3</v>
      </c>
      <c r="G51" s="80">
        <v>0</v>
      </c>
      <c r="H51" s="87">
        <f t="shared" si="0"/>
        <v>0</v>
      </c>
      <c r="I51" s="80">
        <v>0</v>
      </c>
      <c r="J51" s="80">
        <v>0</v>
      </c>
      <c r="K51" s="80">
        <v>0</v>
      </c>
    </row>
    <row r="52" spans="1:11" x14ac:dyDescent="0.2">
      <c r="F52" s="3">
        <f>SUM(F4:F51)</f>
        <v>164</v>
      </c>
      <c r="G52" s="3">
        <f>SUM(G4:G51)</f>
        <v>73</v>
      </c>
      <c r="H52" s="88">
        <f t="shared" si="0"/>
        <v>0.4451219512195122</v>
      </c>
      <c r="I52" s="3">
        <f t="shared" ref="I52:K52" si="1">SUM(I4:I51)</f>
        <v>125</v>
      </c>
      <c r="J52" s="3">
        <f t="shared" si="1"/>
        <v>5</v>
      </c>
      <c r="K52" s="3">
        <f t="shared" si="1"/>
        <v>15</v>
      </c>
    </row>
  </sheetData>
  <sortState xmlns:xlrd2="http://schemas.microsoft.com/office/spreadsheetml/2017/richdata2" ref="A4:K51">
    <sortCondition ref="D4:D51"/>
  </sortState>
  <phoneticPr fontId="0" type="noConversion"/>
  <pageMargins left="0.75" right="0.75" top="1" bottom="1" header="0.5" footer="0.5"/>
  <pageSetup orientation="portrait" r:id="rId1"/>
  <headerFooter alignWithMargins="0"/>
  <ignoredErrors>
    <ignoredError sqref="H52" formula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77"/>
  <sheetViews>
    <sheetView workbookViewId="0">
      <pane ySplit="3" topLeftCell="A36" activePane="bottomLeft" state="frozen"/>
      <selection activeCell="B1" sqref="B1"/>
      <selection pane="bottomLeft" activeCell="G69" sqref="G69:G76"/>
    </sheetView>
  </sheetViews>
  <sheetFormatPr defaultRowHeight="12.75" x14ac:dyDescent="0.2"/>
  <cols>
    <col min="1" max="1" width="8.85546875" style="6" customWidth="1"/>
    <col min="5" max="5" width="29.140625" bestFit="1" customWidth="1"/>
    <col min="7" max="11" width="8.85546875" style="6" customWidth="1"/>
  </cols>
  <sheetData>
    <row r="1" spans="1:11" x14ac:dyDescent="0.2">
      <c r="A1" s="14"/>
      <c r="B1" s="2"/>
      <c r="C1" s="2" t="s">
        <v>25</v>
      </c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1" x14ac:dyDescent="0.2">
      <c r="A2" s="2" t="s">
        <v>0</v>
      </c>
      <c r="B2" s="2" t="s">
        <v>1</v>
      </c>
      <c r="C2" s="2" t="s">
        <v>26</v>
      </c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1" ht="13.5" thickBot="1" x14ac:dyDescent="0.25">
      <c r="A3" s="8"/>
      <c r="G3" s="15"/>
      <c r="H3" s="15"/>
      <c r="I3" s="16"/>
      <c r="J3" s="17" t="s">
        <v>6</v>
      </c>
      <c r="K3" s="17" t="s">
        <v>7</v>
      </c>
    </row>
    <row r="4" spans="1:11" x14ac:dyDescent="0.2">
      <c r="A4" s="5">
        <v>39322</v>
      </c>
      <c r="B4" s="6">
        <v>1</v>
      </c>
      <c r="C4" s="8" t="s">
        <v>27</v>
      </c>
      <c r="D4" s="8">
        <v>1</v>
      </c>
      <c r="E4" s="6" t="s">
        <v>9</v>
      </c>
      <c r="F4" s="6">
        <v>6</v>
      </c>
      <c r="G4" s="6">
        <v>0</v>
      </c>
      <c r="H4" s="86">
        <f>G4/F4</f>
        <v>0</v>
      </c>
      <c r="I4" s="6">
        <v>0</v>
      </c>
      <c r="J4" s="6">
        <v>0</v>
      </c>
      <c r="K4" s="6">
        <v>0</v>
      </c>
    </row>
    <row r="5" spans="1:11" x14ac:dyDescent="0.2">
      <c r="A5" s="5">
        <v>39329</v>
      </c>
      <c r="B5" s="6">
        <v>2</v>
      </c>
      <c r="C5" s="8" t="s">
        <v>27</v>
      </c>
      <c r="D5" s="8">
        <v>1</v>
      </c>
      <c r="E5" s="6" t="s">
        <v>9</v>
      </c>
      <c r="F5" s="6">
        <v>6</v>
      </c>
      <c r="G5" s="6">
        <v>0</v>
      </c>
      <c r="H5" s="86">
        <f t="shared" ref="H5:H68" si="0">G5/F5</f>
        <v>0</v>
      </c>
      <c r="I5" s="6">
        <v>0</v>
      </c>
      <c r="J5" s="6">
        <v>0</v>
      </c>
      <c r="K5" s="6">
        <v>0</v>
      </c>
    </row>
    <row r="6" spans="1:11" x14ac:dyDescent="0.2">
      <c r="A6" s="5">
        <v>39336</v>
      </c>
      <c r="B6" s="6">
        <v>3</v>
      </c>
      <c r="C6" s="8" t="s">
        <v>27</v>
      </c>
      <c r="D6" s="8">
        <v>1</v>
      </c>
      <c r="E6" s="6" t="s">
        <v>9</v>
      </c>
      <c r="F6" s="6">
        <v>6</v>
      </c>
      <c r="G6" s="6">
        <v>0</v>
      </c>
      <c r="H6" s="86">
        <f t="shared" si="0"/>
        <v>0</v>
      </c>
      <c r="I6" s="6">
        <v>0</v>
      </c>
      <c r="J6" s="6">
        <v>0</v>
      </c>
      <c r="K6" s="6">
        <v>0</v>
      </c>
    </row>
    <row r="7" spans="1:11" x14ac:dyDescent="0.2">
      <c r="A7" s="5">
        <v>39343</v>
      </c>
      <c r="B7" s="6">
        <v>4</v>
      </c>
      <c r="C7" s="8" t="s">
        <v>27</v>
      </c>
      <c r="D7" s="8">
        <v>1</v>
      </c>
      <c r="E7" s="6" t="s">
        <v>9</v>
      </c>
      <c r="F7" s="6">
        <v>6</v>
      </c>
      <c r="G7" s="6">
        <v>0</v>
      </c>
      <c r="H7" s="86">
        <f t="shared" si="0"/>
        <v>0</v>
      </c>
      <c r="I7" s="6">
        <v>0</v>
      </c>
      <c r="J7" s="6">
        <v>0</v>
      </c>
      <c r="K7" s="6">
        <v>0</v>
      </c>
    </row>
    <row r="8" spans="1:11" x14ac:dyDescent="0.2">
      <c r="A8" s="5">
        <v>39322</v>
      </c>
      <c r="B8" s="6">
        <v>1</v>
      </c>
      <c r="C8" s="8" t="s">
        <v>28</v>
      </c>
      <c r="D8" s="8">
        <v>2</v>
      </c>
      <c r="E8" s="6" t="s">
        <v>10</v>
      </c>
      <c r="F8" s="6">
        <v>3</v>
      </c>
      <c r="G8" s="6">
        <v>0</v>
      </c>
      <c r="H8" s="86">
        <f t="shared" si="0"/>
        <v>0</v>
      </c>
      <c r="I8" s="6">
        <v>0</v>
      </c>
      <c r="J8" s="6">
        <v>0</v>
      </c>
      <c r="K8" s="6">
        <v>0</v>
      </c>
    </row>
    <row r="9" spans="1:11" x14ac:dyDescent="0.2">
      <c r="A9" s="5">
        <v>39329</v>
      </c>
      <c r="B9" s="6">
        <v>2</v>
      </c>
      <c r="C9" s="8" t="s">
        <v>28</v>
      </c>
      <c r="D9" s="8">
        <v>2</v>
      </c>
      <c r="E9" s="6" t="s">
        <v>10</v>
      </c>
      <c r="F9" s="6">
        <v>3</v>
      </c>
      <c r="G9" s="6">
        <v>0</v>
      </c>
      <c r="H9" s="86">
        <f t="shared" si="0"/>
        <v>0</v>
      </c>
      <c r="I9" s="6">
        <v>0</v>
      </c>
      <c r="J9" s="6">
        <v>0</v>
      </c>
      <c r="K9" s="6">
        <v>0</v>
      </c>
    </row>
    <row r="10" spans="1:11" x14ac:dyDescent="0.2">
      <c r="A10" s="5">
        <v>39336</v>
      </c>
      <c r="B10" s="6">
        <v>3</v>
      </c>
      <c r="C10" s="8" t="s">
        <v>28</v>
      </c>
      <c r="D10" s="8">
        <v>2</v>
      </c>
      <c r="E10" s="6" t="s">
        <v>10</v>
      </c>
      <c r="F10" s="6">
        <v>3</v>
      </c>
      <c r="G10" s="6">
        <v>1</v>
      </c>
      <c r="H10" s="86">
        <f t="shared" si="0"/>
        <v>0.33333333333333331</v>
      </c>
      <c r="I10" s="6">
        <v>1</v>
      </c>
      <c r="J10" s="6">
        <v>0</v>
      </c>
      <c r="K10" s="6">
        <v>0</v>
      </c>
    </row>
    <row r="11" spans="1:11" x14ac:dyDescent="0.2">
      <c r="A11" s="5">
        <v>39343</v>
      </c>
      <c r="B11" s="6">
        <v>4</v>
      </c>
      <c r="C11" s="8" t="s">
        <v>28</v>
      </c>
      <c r="D11" s="8">
        <v>2</v>
      </c>
      <c r="E11" s="6" t="s">
        <v>10</v>
      </c>
      <c r="F11" s="6">
        <v>3</v>
      </c>
      <c r="G11" s="6">
        <v>0</v>
      </c>
      <c r="H11" s="86">
        <f t="shared" si="0"/>
        <v>0</v>
      </c>
      <c r="I11" s="6">
        <v>0</v>
      </c>
      <c r="J11" s="6">
        <v>0</v>
      </c>
      <c r="K11" s="6">
        <v>0</v>
      </c>
    </row>
    <row r="12" spans="1:11" x14ac:dyDescent="0.2">
      <c r="A12" s="5">
        <v>39322</v>
      </c>
      <c r="B12" s="6">
        <v>1</v>
      </c>
      <c r="C12" s="8" t="s">
        <v>29</v>
      </c>
      <c r="D12" s="8">
        <v>3</v>
      </c>
      <c r="E12" s="6" t="s">
        <v>11</v>
      </c>
      <c r="F12" s="6">
        <v>2</v>
      </c>
      <c r="G12" s="6">
        <v>0</v>
      </c>
      <c r="H12" s="86">
        <f t="shared" si="0"/>
        <v>0</v>
      </c>
      <c r="I12" s="6">
        <v>0</v>
      </c>
      <c r="J12" s="6">
        <v>0</v>
      </c>
      <c r="K12" s="6">
        <v>0</v>
      </c>
    </row>
    <row r="13" spans="1:11" x14ac:dyDescent="0.2">
      <c r="A13" s="5">
        <v>39329</v>
      </c>
      <c r="B13" s="6">
        <v>2</v>
      </c>
      <c r="C13" s="8" t="s">
        <v>29</v>
      </c>
      <c r="D13" s="8">
        <v>3</v>
      </c>
      <c r="E13" s="6" t="s">
        <v>11</v>
      </c>
      <c r="F13" s="6">
        <v>2</v>
      </c>
      <c r="G13" s="6">
        <v>0</v>
      </c>
      <c r="H13" s="86">
        <f t="shared" si="0"/>
        <v>0</v>
      </c>
      <c r="I13" s="6">
        <v>0</v>
      </c>
      <c r="J13" s="6">
        <v>0</v>
      </c>
      <c r="K13" s="6">
        <v>0</v>
      </c>
    </row>
    <row r="14" spans="1:11" x14ac:dyDescent="0.2">
      <c r="A14" s="5">
        <v>39336</v>
      </c>
      <c r="B14" s="6">
        <v>3</v>
      </c>
      <c r="C14" s="8" t="s">
        <v>29</v>
      </c>
      <c r="D14" s="8">
        <v>3</v>
      </c>
      <c r="E14" s="6" t="s">
        <v>11</v>
      </c>
      <c r="F14" s="6">
        <v>2</v>
      </c>
      <c r="G14" s="6">
        <v>0</v>
      </c>
      <c r="H14" s="86">
        <f t="shared" si="0"/>
        <v>0</v>
      </c>
      <c r="I14" s="6">
        <v>0</v>
      </c>
      <c r="J14" s="6">
        <v>0</v>
      </c>
      <c r="K14" s="6">
        <v>0</v>
      </c>
    </row>
    <row r="15" spans="1:11" x14ac:dyDescent="0.2">
      <c r="A15" s="5">
        <v>39343</v>
      </c>
      <c r="B15" s="6">
        <v>4</v>
      </c>
      <c r="C15" s="8" t="s">
        <v>29</v>
      </c>
      <c r="D15" s="8">
        <v>3</v>
      </c>
      <c r="E15" s="6" t="s">
        <v>11</v>
      </c>
      <c r="F15" s="6">
        <v>2</v>
      </c>
      <c r="G15" s="6">
        <v>0</v>
      </c>
      <c r="H15" s="86">
        <f t="shared" si="0"/>
        <v>0</v>
      </c>
      <c r="I15" s="6">
        <v>0</v>
      </c>
      <c r="J15" s="6">
        <v>0</v>
      </c>
      <c r="K15" s="6">
        <v>0</v>
      </c>
    </row>
    <row r="16" spans="1:11" x14ac:dyDescent="0.2">
      <c r="A16" s="5">
        <v>39350</v>
      </c>
      <c r="B16" s="6">
        <v>5</v>
      </c>
      <c r="C16" s="8" t="s">
        <v>29</v>
      </c>
      <c r="D16" s="8">
        <v>3</v>
      </c>
      <c r="E16" s="6" t="s">
        <v>11</v>
      </c>
      <c r="F16" s="6">
        <v>2</v>
      </c>
      <c r="G16" s="6">
        <v>0</v>
      </c>
      <c r="H16" s="86">
        <f t="shared" si="0"/>
        <v>0</v>
      </c>
      <c r="I16" s="6">
        <v>0</v>
      </c>
      <c r="J16" s="6">
        <v>0</v>
      </c>
      <c r="K16" s="6">
        <v>1</v>
      </c>
    </row>
    <row r="17" spans="1:11" x14ac:dyDescent="0.2">
      <c r="A17" s="5">
        <v>39356</v>
      </c>
      <c r="B17" s="6">
        <v>6</v>
      </c>
      <c r="C17" s="8" t="s">
        <v>29</v>
      </c>
      <c r="D17" s="8">
        <v>3</v>
      </c>
      <c r="E17" s="6" t="s">
        <v>11</v>
      </c>
      <c r="F17" s="6">
        <v>2</v>
      </c>
      <c r="G17" s="6">
        <v>0</v>
      </c>
      <c r="H17" s="86">
        <f t="shared" si="0"/>
        <v>0</v>
      </c>
      <c r="I17" s="6">
        <v>0</v>
      </c>
      <c r="J17" s="6">
        <v>0</v>
      </c>
      <c r="K17" s="6">
        <v>0</v>
      </c>
    </row>
    <row r="18" spans="1:11" x14ac:dyDescent="0.2">
      <c r="A18" s="5">
        <v>39322</v>
      </c>
      <c r="B18" s="6">
        <v>1</v>
      </c>
      <c r="C18" s="8" t="s">
        <v>30</v>
      </c>
      <c r="D18" s="8">
        <v>4</v>
      </c>
      <c r="E18" s="6" t="s">
        <v>12</v>
      </c>
      <c r="F18" s="6">
        <v>5</v>
      </c>
      <c r="G18" s="6">
        <v>0</v>
      </c>
      <c r="H18" s="86">
        <f t="shared" si="0"/>
        <v>0</v>
      </c>
      <c r="I18" s="6">
        <v>0</v>
      </c>
      <c r="J18" s="6">
        <v>0</v>
      </c>
      <c r="K18" s="6">
        <v>0</v>
      </c>
    </row>
    <row r="19" spans="1:11" x14ac:dyDescent="0.2">
      <c r="A19" s="5">
        <v>39329</v>
      </c>
      <c r="B19" s="6">
        <v>2</v>
      </c>
      <c r="C19" s="8" t="s">
        <v>30</v>
      </c>
      <c r="D19" s="8">
        <v>4</v>
      </c>
      <c r="E19" s="6" t="s">
        <v>12</v>
      </c>
      <c r="F19" s="6">
        <v>5</v>
      </c>
      <c r="G19" s="6">
        <v>0</v>
      </c>
      <c r="H19" s="86">
        <f t="shared" si="0"/>
        <v>0</v>
      </c>
      <c r="I19" s="6">
        <v>0</v>
      </c>
      <c r="J19" s="6">
        <v>0</v>
      </c>
      <c r="K19" s="6">
        <v>0</v>
      </c>
    </row>
    <row r="20" spans="1:11" x14ac:dyDescent="0.2">
      <c r="A20" s="5">
        <v>39336</v>
      </c>
      <c r="B20" s="6">
        <v>3</v>
      </c>
      <c r="C20" s="8" t="s">
        <v>30</v>
      </c>
      <c r="D20" s="8">
        <v>4</v>
      </c>
      <c r="E20" s="6" t="s">
        <v>12</v>
      </c>
      <c r="F20" s="6">
        <v>5</v>
      </c>
      <c r="G20" s="6">
        <v>0</v>
      </c>
      <c r="H20" s="86">
        <f t="shared" si="0"/>
        <v>0</v>
      </c>
      <c r="I20" s="6">
        <v>1</v>
      </c>
      <c r="J20" s="6">
        <v>0</v>
      </c>
      <c r="K20" s="6">
        <v>0</v>
      </c>
    </row>
    <row r="21" spans="1:11" x14ac:dyDescent="0.2">
      <c r="A21" s="5">
        <v>39343</v>
      </c>
      <c r="B21" s="6">
        <v>4</v>
      </c>
      <c r="C21" s="8" t="s">
        <v>30</v>
      </c>
      <c r="D21" s="8">
        <v>4</v>
      </c>
      <c r="E21" s="6" t="s">
        <v>12</v>
      </c>
      <c r="F21" s="6">
        <v>5</v>
      </c>
      <c r="G21" s="6">
        <v>2</v>
      </c>
      <c r="H21" s="86">
        <f t="shared" si="0"/>
        <v>0.4</v>
      </c>
      <c r="I21" s="6">
        <v>2</v>
      </c>
      <c r="J21" s="6">
        <v>0</v>
      </c>
      <c r="K21" s="6">
        <v>0</v>
      </c>
    </row>
    <row r="22" spans="1:11" x14ac:dyDescent="0.2">
      <c r="A22" s="5">
        <v>39350</v>
      </c>
      <c r="B22" s="6">
        <v>5</v>
      </c>
      <c r="C22" s="8" t="s">
        <v>30</v>
      </c>
      <c r="D22" s="8">
        <v>4</v>
      </c>
      <c r="E22" s="6" t="s">
        <v>12</v>
      </c>
      <c r="F22" s="6">
        <v>5</v>
      </c>
      <c r="G22" s="6">
        <v>1</v>
      </c>
      <c r="H22" s="86">
        <f t="shared" si="0"/>
        <v>0.2</v>
      </c>
      <c r="I22" s="6">
        <v>1</v>
      </c>
      <c r="J22" s="6">
        <v>1</v>
      </c>
      <c r="K22" s="6">
        <v>0</v>
      </c>
    </row>
    <row r="23" spans="1:11" x14ac:dyDescent="0.2">
      <c r="A23" s="5">
        <v>39356</v>
      </c>
      <c r="B23" s="6">
        <v>6</v>
      </c>
      <c r="C23" s="8" t="s">
        <v>30</v>
      </c>
      <c r="D23" s="8">
        <v>4</v>
      </c>
      <c r="E23" s="6" t="s">
        <v>12</v>
      </c>
      <c r="F23" s="6">
        <v>5</v>
      </c>
      <c r="G23" s="6">
        <v>0</v>
      </c>
      <c r="H23" s="86">
        <f t="shared" si="0"/>
        <v>0</v>
      </c>
      <c r="I23" s="6">
        <v>1</v>
      </c>
      <c r="J23" s="6">
        <v>0</v>
      </c>
      <c r="K23" s="6">
        <v>0</v>
      </c>
    </row>
    <row r="24" spans="1:11" x14ac:dyDescent="0.2">
      <c r="A24" s="5">
        <v>39322</v>
      </c>
      <c r="B24" s="6">
        <v>1</v>
      </c>
      <c r="C24" s="8" t="s">
        <v>31</v>
      </c>
      <c r="D24" s="8">
        <v>5</v>
      </c>
      <c r="E24" s="6" t="s">
        <v>13</v>
      </c>
      <c r="F24" s="6">
        <v>2</v>
      </c>
      <c r="G24" s="6">
        <v>0</v>
      </c>
      <c r="H24" s="86">
        <f t="shared" si="0"/>
        <v>0</v>
      </c>
      <c r="I24" s="6">
        <v>0</v>
      </c>
      <c r="J24" s="6">
        <v>0</v>
      </c>
      <c r="K24" s="6">
        <v>0</v>
      </c>
    </row>
    <row r="25" spans="1:11" x14ac:dyDescent="0.2">
      <c r="A25" s="5">
        <v>39329</v>
      </c>
      <c r="B25" s="6">
        <v>2</v>
      </c>
      <c r="C25" s="8" t="s">
        <v>31</v>
      </c>
      <c r="D25" s="8">
        <v>5</v>
      </c>
      <c r="E25" s="6" t="s">
        <v>13</v>
      </c>
      <c r="F25" s="6">
        <v>2</v>
      </c>
      <c r="G25" s="6">
        <v>0</v>
      </c>
      <c r="H25" s="86">
        <f t="shared" si="0"/>
        <v>0</v>
      </c>
      <c r="I25" s="6">
        <v>0</v>
      </c>
      <c r="J25" s="6">
        <v>0</v>
      </c>
      <c r="K25" s="6">
        <v>0</v>
      </c>
    </row>
    <row r="26" spans="1:11" x14ac:dyDescent="0.2">
      <c r="A26" s="5">
        <v>39336</v>
      </c>
      <c r="B26" s="6">
        <v>3</v>
      </c>
      <c r="C26" s="8" t="s">
        <v>31</v>
      </c>
      <c r="D26" s="8">
        <v>5</v>
      </c>
      <c r="E26" s="6" t="s">
        <v>13</v>
      </c>
      <c r="F26" s="6">
        <v>2</v>
      </c>
      <c r="G26" s="6">
        <v>0</v>
      </c>
      <c r="H26" s="86">
        <f t="shared" si="0"/>
        <v>0</v>
      </c>
      <c r="I26" s="6">
        <v>0</v>
      </c>
      <c r="J26" s="6">
        <v>0</v>
      </c>
      <c r="K26" s="6">
        <v>0</v>
      </c>
    </row>
    <row r="27" spans="1:11" x14ac:dyDescent="0.2">
      <c r="A27" s="5">
        <v>39343</v>
      </c>
      <c r="B27" s="6">
        <v>4</v>
      </c>
      <c r="C27" s="8" t="s">
        <v>31</v>
      </c>
      <c r="D27" s="8">
        <v>5</v>
      </c>
      <c r="E27" s="6" t="s">
        <v>13</v>
      </c>
      <c r="F27" s="6">
        <v>2</v>
      </c>
      <c r="G27" s="6">
        <v>0</v>
      </c>
      <c r="H27" s="86">
        <f t="shared" si="0"/>
        <v>0</v>
      </c>
      <c r="I27" s="6">
        <v>3</v>
      </c>
      <c r="J27" s="6">
        <v>0</v>
      </c>
      <c r="K27" s="6">
        <v>0</v>
      </c>
    </row>
    <row r="28" spans="1:11" x14ac:dyDescent="0.2">
      <c r="A28" s="5">
        <v>39350</v>
      </c>
      <c r="B28" s="6">
        <v>5</v>
      </c>
      <c r="C28" s="8" t="s">
        <v>31</v>
      </c>
      <c r="D28" s="8">
        <v>5</v>
      </c>
      <c r="E28" s="6" t="s">
        <v>13</v>
      </c>
      <c r="F28" s="6">
        <v>2</v>
      </c>
      <c r="G28" s="6">
        <v>0</v>
      </c>
      <c r="H28" s="86">
        <f t="shared" si="0"/>
        <v>0</v>
      </c>
      <c r="I28" s="6">
        <v>0</v>
      </c>
      <c r="J28" s="6">
        <v>0</v>
      </c>
      <c r="K28" s="6">
        <v>0</v>
      </c>
    </row>
    <row r="29" spans="1:11" x14ac:dyDescent="0.2">
      <c r="A29" s="5">
        <v>39356</v>
      </c>
      <c r="B29" s="6">
        <v>6</v>
      </c>
      <c r="C29" s="8" t="s">
        <v>31</v>
      </c>
      <c r="D29" s="8">
        <v>5</v>
      </c>
      <c r="E29" s="6" t="s">
        <v>13</v>
      </c>
      <c r="F29" s="6">
        <v>2</v>
      </c>
      <c r="G29" s="6">
        <v>0</v>
      </c>
      <c r="H29" s="86">
        <f t="shared" si="0"/>
        <v>0</v>
      </c>
      <c r="I29" s="6">
        <v>0</v>
      </c>
      <c r="J29" s="6">
        <v>0</v>
      </c>
      <c r="K29" s="6">
        <v>0</v>
      </c>
    </row>
    <row r="30" spans="1:11" x14ac:dyDescent="0.2">
      <c r="A30" s="5">
        <v>39322</v>
      </c>
      <c r="B30" s="6">
        <v>1</v>
      </c>
      <c r="C30" s="8" t="s">
        <v>32</v>
      </c>
      <c r="D30" s="8">
        <v>6</v>
      </c>
      <c r="E30" s="6" t="s">
        <v>14</v>
      </c>
      <c r="F30" s="6">
        <v>4</v>
      </c>
      <c r="G30" s="6">
        <v>0</v>
      </c>
      <c r="H30" s="86">
        <f t="shared" si="0"/>
        <v>0</v>
      </c>
      <c r="I30" s="6">
        <v>0</v>
      </c>
      <c r="J30" s="6">
        <v>0</v>
      </c>
      <c r="K30" s="6">
        <v>0</v>
      </c>
    </row>
    <row r="31" spans="1:11" x14ac:dyDescent="0.2">
      <c r="A31" s="5">
        <v>39329</v>
      </c>
      <c r="B31" s="6">
        <v>2</v>
      </c>
      <c r="C31" s="8" t="s">
        <v>32</v>
      </c>
      <c r="D31" s="8">
        <v>6</v>
      </c>
      <c r="E31" s="6" t="s">
        <v>14</v>
      </c>
      <c r="F31" s="6">
        <v>4</v>
      </c>
      <c r="G31" s="6">
        <v>0</v>
      </c>
      <c r="H31" s="86">
        <f t="shared" si="0"/>
        <v>0</v>
      </c>
      <c r="I31" s="6">
        <v>0</v>
      </c>
      <c r="J31" s="6">
        <v>0</v>
      </c>
      <c r="K31" s="6">
        <v>0</v>
      </c>
    </row>
    <row r="32" spans="1:11" x14ac:dyDescent="0.2">
      <c r="A32" s="5">
        <v>39336</v>
      </c>
      <c r="B32" s="6">
        <v>3</v>
      </c>
      <c r="C32" s="8" t="s">
        <v>32</v>
      </c>
      <c r="D32" s="8">
        <v>6</v>
      </c>
      <c r="E32" s="6" t="s">
        <v>14</v>
      </c>
      <c r="F32" s="6">
        <v>4</v>
      </c>
      <c r="G32" s="6">
        <v>0</v>
      </c>
      <c r="H32" s="86">
        <f t="shared" si="0"/>
        <v>0</v>
      </c>
      <c r="I32" s="6">
        <v>0</v>
      </c>
      <c r="J32" s="6">
        <v>0</v>
      </c>
      <c r="K32" s="6">
        <v>0</v>
      </c>
    </row>
    <row r="33" spans="1:11" x14ac:dyDescent="0.2">
      <c r="A33" s="5">
        <v>39343</v>
      </c>
      <c r="B33" s="6">
        <v>4</v>
      </c>
      <c r="C33" s="8" t="s">
        <v>32</v>
      </c>
      <c r="D33" s="8">
        <v>6</v>
      </c>
      <c r="E33" s="6" t="s">
        <v>14</v>
      </c>
      <c r="F33" s="6">
        <v>4</v>
      </c>
      <c r="G33" s="6">
        <v>2</v>
      </c>
      <c r="H33" s="86">
        <f t="shared" si="0"/>
        <v>0.5</v>
      </c>
      <c r="I33" s="6">
        <v>1</v>
      </c>
      <c r="J33" s="6">
        <v>0</v>
      </c>
      <c r="K33" s="6">
        <v>1</v>
      </c>
    </row>
    <row r="34" spans="1:11" x14ac:dyDescent="0.2">
      <c r="A34" s="5">
        <v>39350</v>
      </c>
      <c r="B34" s="6">
        <v>5</v>
      </c>
      <c r="C34" s="8" t="s">
        <v>32</v>
      </c>
      <c r="D34" s="8">
        <v>6</v>
      </c>
      <c r="E34" s="6" t="s">
        <v>14</v>
      </c>
      <c r="F34" s="6">
        <v>4</v>
      </c>
      <c r="G34" s="6">
        <v>0</v>
      </c>
      <c r="H34" s="86">
        <f t="shared" si="0"/>
        <v>0</v>
      </c>
      <c r="I34" s="6">
        <v>0</v>
      </c>
      <c r="J34" s="6">
        <v>0</v>
      </c>
      <c r="K34" s="6">
        <v>0</v>
      </c>
    </row>
    <row r="35" spans="1:11" x14ac:dyDescent="0.2">
      <c r="A35" s="5">
        <v>39356</v>
      </c>
      <c r="B35" s="6">
        <v>6</v>
      </c>
      <c r="C35" s="8" t="s">
        <v>32</v>
      </c>
      <c r="D35" s="8">
        <v>6</v>
      </c>
      <c r="E35" s="6" t="s">
        <v>14</v>
      </c>
      <c r="F35" s="6">
        <v>4</v>
      </c>
      <c r="G35" s="6">
        <v>0</v>
      </c>
      <c r="H35" s="86">
        <f t="shared" si="0"/>
        <v>0</v>
      </c>
      <c r="I35" s="6">
        <v>0</v>
      </c>
      <c r="J35" s="6">
        <v>0</v>
      </c>
      <c r="K35" s="6">
        <v>1</v>
      </c>
    </row>
    <row r="36" spans="1:11" x14ac:dyDescent="0.2">
      <c r="A36" s="5">
        <v>39322</v>
      </c>
      <c r="B36" s="6">
        <v>1</v>
      </c>
      <c r="C36" s="8" t="s">
        <v>33</v>
      </c>
      <c r="D36" s="8">
        <v>7</v>
      </c>
      <c r="E36" s="6" t="s">
        <v>15</v>
      </c>
      <c r="F36" s="6">
        <v>3</v>
      </c>
      <c r="G36" s="6">
        <v>0</v>
      </c>
      <c r="H36" s="86">
        <f t="shared" si="0"/>
        <v>0</v>
      </c>
      <c r="I36" s="6">
        <v>0</v>
      </c>
      <c r="J36" s="6">
        <v>0</v>
      </c>
      <c r="K36" s="6">
        <v>0</v>
      </c>
    </row>
    <row r="37" spans="1:11" x14ac:dyDescent="0.2">
      <c r="A37" s="5">
        <v>39329</v>
      </c>
      <c r="B37" s="6">
        <v>2</v>
      </c>
      <c r="C37" s="8" t="s">
        <v>33</v>
      </c>
      <c r="D37" s="8">
        <v>7</v>
      </c>
      <c r="E37" s="6" t="s">
        <v>15</v>
      </c>
      <c r="F37" s="6">
        <v>3</v>
      </c>
      <c r="G37" s="6">
        <v>0</v>
      </c>
      <c r="H37" s="86">
        <f t="shared" si="0"/>
        <v>0</v>
      </c>
      <c r="I37" s="6">
        <v>0</v>
      </c>
      <c r="J37" s="6">
        <v>0</v>
      </c>
      <c r="K37" s="6">
        <v>0</v>
      </c>
    </row>
    <row r="38" spans="1:11" x14ac:dyDescent="0.2">
      <c r="A38" s="5">
        <v>39336</v>
      </c>
      <c r="B38" s="6">
        <v>3</v>
      </c>
      <c r="C38" s="8" t="s">
        <v>33</v>
      </c>
      <c r="D38" s="8">
        <v>7</v>
      </c>
      <c r="E38" s="6" t="s">
        <v>15</v>
      </c>
      <c r="F38" s="6">
        <v>3</v>
      </c>
      <c r="G38" s="6">
        <v>0</v>
      </c>
      <c r="H38" s="86">
        <f t="shared" si="0"/>
        <v>0</v>
      </c>
      <c r="I38" s="6">
        <v>0</v>
      </c>
      <c r="J38" s="6">
        <v>0</v>
      </c>
      <c r="K38" s="6">
        <v>0</v>
      </c>
    </row>
    <row r="39" spans="1:11" x14ac:dyDescent="0.2">
      <c r="A39" s="5">
        <v>39343</v>
      </c>
      <c r="B39" s="6">
        <v>4</v>
      </c>
      <c r="C39" s="8" t="s">
        <v>33</v>
      </c>
      <c r="D39" s="8">
        <v>7</v>
      </c>
      <c r="E39" s="6" t="s">
        <v>15</v>
      </c>
      <c r="F39" s="6">
        <v>3</v>
      </c>
      <c r="G39" s="6">
        <v>0</v>
      </c>
      <c r="H39" s="86">
        <f t="shared" si="0"/>
        <v>0</v>
      </c>
      <c r="I39" s="6">
        <v>0</v>
      </c>
      <c r="J39" s="6">
        <v>0</v>
      </c>
      <c r="K39" s="6">
        <v>0</v>
      </c>
    </row>
    <row r="40" spans="1:11" x14ac:dyDescent="0.2">
      <c r="A40" s="5">
        <v>39350</v>
      </c>
      <c r="B40" s="6">
        <v>5</v>
      </c>
      <c r="C40" s="8" t="s">
        <v>33</v>
      </c>
      <c r="D40" s="8">
        <v>7</v>
      </c>
      <c r="E40" s="6" t="s">
        <v>15</v>
      </c>
      <c r="F40" s="6">
        <v>3</v>
      </c>
      <c r="G40" s="6">
        <v>0</v>
      </c>
      <c r="H40" s="86">
        <f t="shared" si="0"/>
        <v>0</v>
      </c>
      <c r="I40" s="6">
        <v>0</v>
      </c>
      <c r="J40" s="6">
        <v>0</v>
      </c>
      <c r="K40" s="6">
        <v>0</v>
      </c>
    </row>
    <row r="41" spans="1:11" x14ac:dyDescent="0.2">
      <c r="A41" s="5">
        <v>39356</v>
      </c>
      <c r="B41" s="6">
        <v>6</v>
      </c>
      <c r="C41" s="8" t="s">
        <v>33</v>
      </c>
      <c r="D41" s="8">
        <v>7</v>
      </c>
      <c r="E41" s="6" t="s">
        <v>15</v>
      </c>
      <c r="F41" s="6">
        <v>3</v>
      </c>
      <c r="G41" s="6">
        <v>0</v>
      </c>
      <c r="H41" s="86">
        <f t="shared" si="0"/>
        <v>0</v>
      </c>
      <c r="I41" s="6">
        <v>0</v>
      </c>
      <c r="J41" s="6">
        <v>0</v>
      </c>
      <c r="K41" s="6">
        <v>0</v>
      </c>
    </row>
    <row r="42" spans="1:11" x14ac:dyDescent="0.2">
      <c r="A42" s="5">
        <v>39322</v>
      </c>
      <c r="B42" s="6">
        <v>1</v>
      </c>
      <c r="C42" s="8" t="s">
        <v>34</v>
      </c>
      <c r="D42" s="8">
        <v>8</v>
      </c>
      <c r="E42" s="6" t="s">
        <v>16</v>
      </c>
      <c r="F42" s="6">
        <v>3</v>
      </c>
      <c r="G42" s="6">
        <v>1</v>
      </c>
      <c r="H42" s="86">
        <f t="shared" si="0"/>
        <v>0.33333333333333331</v>
      </c>
      <c r="I42" s="6">
        <v>1</v>
      </c>
      <c r="J42" s="6">
        <v>0</v>
      </c>
      <c r="K42" s="6">
        <v>0</v>
      </c>
    </row>
    <row r="43" spans="1:11" x14ac:dyDescent="0.2">
      <c r="A43" s="5">
        <v>39329</v>
      </c>
      <c r="B43" s="6">
        <v>2</v>
      </c>
      <c r="C43" s="8" t="s">
        <v>34</v>
      </c>
      <c r="D43" s="8">
        <v>8</v>
      </c>
      <c r="E43" s="6" t="s">
        <v>16</v>
      </c>
      <c r="F43" s="6">
        <v>3</v>
      </c>
      <c r="G43" s="6">
        <v>5</v>
      </c>
      <c r="H43" s="86">
        <f t="shared" si="0"/>
        <v>1.6666666666666667</v>
      </c>
      <c r="I43" s="6">
        <v>9</v>
      </c>
      <c r="J43" s="6">
        <v>0</v>
      </c>
      <c r="K43" s="6">
        <v>0</v>
      </c>
    </row>
    <row r="44" spans="1:11" x14ac:dyDescent="0.2">
      <c r="A44" s="5">
        <v>39336</v>
      </c>
      <c r="B44" s="6">
        <v>3</v>
      </c>
      <c r="C44" s="8" t="s">
        <v>34</v>
      </c>
      <c r="D44" s="8">
        <v>8</v>
      </c>
      <c r="E44" s="6" t="s">
        <v>16</v>
      </c>
      <c r="F44" s="6">
        <v>3</v>
      </c>
      <c r="G44" s="6">
        <v>6</v>
      </c>
      <c r="H44" s="86">
        <f t="shared" si="0"/>
        <v>2</v>
      </c>
      <c r="I44" s="6">
        <v>20</v>
      </c>
      <c r="J44" s="6">
        <v>1</v>
      </c>
      <c r="K44" s="6">
        <v>2</v>
      </c>
    </row>
    <row r="45" spans="1:11" x14ac:dyDescent="0.2">
      <c r="A45" s="5">
        <v>39343</v>
      </c>
      <c r="B45" s="6">
        <v>4</v>
      </c>
      <c r="C45" s="8" t="s">
        <v>34</v>
      </c>
      <c r="D45" s="8">
        <v>8</v>
      </c>
      <c r="E45" s="6" t="s">
        <v>16</v>
      </c>
      <c r="F45" s="6">
        <v>3</v>
      </c>
      <c r="G45" s="6">
        <v>10</v>
      </c>
      <c r="H45" s="86">
        <f t="shared" si="0"/>
        <v>3.3333333333333335</v>
      </c>
      <c r="I45" s="6">
        <v>4</v>
      </c>
      <c r="J45" s="6">
        <v>2</v>
      </c>
      <c r="K45" s="6">
        <v>4</v>
      </c>
    </row>
    <row r="46" spans="1:11" x14ac:dyDescent="0.2">
      <c r="A46" s="5">
        <v>39350</v>
      </c>
      <c r="B46" s="6">
        <v>5</v>
      </c>
      <c r="C46" s="8" t="s">
        <v>34</v>
      </c>
      <c r="D46" s="8">
        <v>8</v>
      </c>
      <c r="E46" s="6" t="s">
        <v>16</v>
      </c>
      <c r="F46" s="6">
        <v>3</v>
      </c>
      <c r="G46" s="6">
        <v>4</v>
      </c>
      <c r="H46" s="86">
        <f t="shared" si="0"/>
        <v>1.3333333333333333</v>
      </c>
      <c r="I46" s="6">
        <v>3</v>
      </c>
      <c r="J46" s="6">
        <v>0</v>
      </c>
      <c r="K46" s="6">
        <v>3</v>
      </c>
    </row>
    <row r="47" spans="1:11" x14ac:dyDescent="0.2">
      <c r="A47" s="5">
        <v>39356</v>
      </c>
      <c r="B47" s="6">
        <v>6</v>
      </c>
      <c r="C47" s="8" t="s">
        <v>34</v>
      </c>
      <c r="D47" s="8">
        <v>8</v>
      </c>
      <c r="E47" s="6" t="s">
        <v>16</v>
      </c>
      <c r="F47" s="6">
        <v>3</v>
      </c>
      <c r="G47" s="6">
        <v>0</v>
      </c>
      <c r="H47" s="86">
        <f t="shared" si="0"/>
        <v>0</v>
      </c>
      <c r="I47" s="6">
        <v>0</v>
      </c>
      <c r="J47" s="6">
        <v>1</v>
      </c>
      <c r="K47" s="6">
        <v>1</v>
      </c>
    </row>
    <row r="48" spans="1:11" x14ac:dyDescent="0.2">
      <c r="A48" s="5">
        <v>39322</v>
      </c>
      <c r="B48" s="6">
        <v>1</v>
      </c>
      <c r="C48" s="8" t="s">
        <v>35</v>
      </c>
      <c r="D48" s="8">
        <v>9</v>
      </c>
      <c r="E48" s="6" t="s">
        <v>17</v>
      </c>
      <c r="F48" s="6">
        <v>4</v>
      </c>
      <c r="G48" s="6">
        <v>0</v>
      </c>
      <c r="H48" s="86">
        <f t="shared" si="0"/>
        <v>0</v>
      </c>
      <c r="I48" s="6">
        <v>1</v>
      </c>
      <c r="J48" s="6">
        <v>0</v>
      </c>
      <c r="K48" s="6">
        <v>0</v>
      </c>
    </row>
    <row r="49" spans="1:11" x14ac:dyDescent="0.2">
      <c r="A49" s="5">
        <v>39329</v>
      </c>
      <c r="B49" s="6">
        <v>2</v>
      </c>
      <c r="C49" s="8" t="s">
        <v>35</v>
      </c>
      <c r="D49" s="8">
        <v>9</v>
      </c>
      <c r="E49" s="6" t="s">
        <v>17</v>
      </c>
      <c r="F49" s="6">
        <v>4</v>
      </c>
      <c r="G49" s="6">
        <v>0</v>
      </c>
      <c r="H49" s="86">
        <f t="shared" si="0"/>
        <v>0</v>
      </c>
      <c r="I49" s="6">
        <v>0</v>
      </c>
      <c r="J49" s="6">
        <v>0</v>
      </c>
      <c r="K49" s="6">
        <v>0</v>
      </c>
    </row>
    <row r="50" spans="1:11" x14ac:dyDescent="0.2">
      <c r="A50" s="5">
        <v>39336</v>
      </c>
      <c r="B50" s="6">
        <v>3</v>
      </c>
      <c r="C50" s="8" t="s">
        <v>35</v>
      </c>
      <c r="D50" s="8">
        <v>9</v>
      </c>
      <c r="E50" s="6" t="s">
        <v>17</v>
      </c>
      <c r="F50" s="6">
        <v>4</v>
      </c>
      <c r="G50" s="6">
        <v>10</v>
      </c>
      <c r="H50" s="86">
        <f t="shared" si="0"/>
        <v>2.5</v>
      </c>
      <c r="I50" s="6">
        <v>13</v>
      </c>
      <c r="J50" s="6">
        <v>0</v>
      </c>
      <c r="K50" s="6">
        <v>0</v>
      </c>
    </row>
    <row r="51" spans="1:11" x14ac:dyDescent="0.2">
      <c r="A51" s="5">
        <v>39343</v>
      </c>
      <c r="B51" s="6">
        <v>4</v>
      </c>
      <c r="C51" s="8" t="s">
        <v>35</v>
      </c>
      <c r="D51" s="8">
        <v>9</v>
      </c>
      <c r="E51" s="6" t="s">
        <v>17</v>
      </c>
      <c r="F51" s="6">
        <v>4</v>
      </c>
      <c r="G51" s="6">
        <v>10</v>
      </c>
      <c r="H51" s="86">
        <f t="shared" si="0"/>
        <v>2.5</v>
      </c>
      <c r="I51" s="6">
        <v>5</v>
      </c>
      <c r="J51" s="6">
        <v>1</v>
      </c>
      <c r="K51" s="6">
        <v>3</v>
      </c>
    </row>
    <row r="52" spans="1:11" x14ac:dyDescent="0.2">
      <c r="A52" s="5">
        <v>39350</v>
      </c>
      <c r="B52" s="6">
        <v>5</v>
      </c>
      <c r="C52" s="8" t="s">
        <v>35</v>
      </c>
      <c r="D52" s="8">
        <v>9</v>
      </c>
      <c r="E52" s="6" t="s">
        <v>17</v>
      </c>
      <c r="F52" s="6">
        <v>4</v>
      </c>
      <c r="G52" s="6">
        <v>2</v>
      </c>
      <c r="H52" s="86">
        <f t="shared" si="0"/>
        <v>0.5</v>
      </c>
      <c r="I52" s="6">
        <v>2</v>
      </c>
      <c r="J52" s="6">
        <v>0</v>
      </c>
      <c r="K52" s="6">
        <v>0</v>
      </c>
    </row>
    <row r="53" spans="1:11" x14ac:dyDescent="0.2">
      <c r="A53" s="5">
        <v>39356</v>
      </c>
      <c r="B53" s="6">
        <v>6</v>
      </c>
      <c r="C53" s="8" t="s">
        <v>35</v>
      </c>
      <c r="D53" s="8">
        <v>9</v>
      </c>
      <c r="E53" s="6" t="s">
        <v>17</v>
      </c>
      <c r="F53" s="6">
        <v>4</v>
      </c>
      <c r="G53" s="6">
        <v>1</v>
      </c>
      <c r="H53" s="86">
        <f t="shared" si="0"/>
        <v>0.25</v>
      </c>
      <c r="I53" s="6">
        <v>0</v>
      </c>
      <c r="J53" s="6">
        <v>0</v>
      </c>
      <c r="K53" s="6">
        <v>0</v>
      </c>
    </row>
    <row r="54" spans="1:11" x14ac:dyDescent="0.2">
      <c r="A54" s="5">
        <v>39329</v>
      </c>
      <c r="B54" s="6">
        <v>1</v>
      </c>
      <c r="C54" s="8" t="s">
        <v>36</v>
      </c>
      <c r="D54" s="8">
        <v>10</v>
      </c>
      <c r="E54" s="6" t="s">
        <v>18</v>
      </c>
      <c r="F54" s="6">
        <v>5</v>
      </c>
      <c r="G54" s="6">
        <v>0</v>
      </c>
      <c r="H54" s="86">
        <f t="shared" si="0"/>
        <v>0</v>
      </c>
      <c r="I54" s="6">
        <v>0</v>
      </c>
      <c r="J54" s="6">
        <v>0</v>
      </c>
      <c r="K54" s="6">
        <v>0</v>
      </c>
    </row>
    <row r="55" spans="1:11" x14ac:dyDescent="0.2">
      <c r="A55" s="5">
        <v>39336</v>
      </c>
      <c r="B55" s="6">
        <v>2</v>
      </c>
      <c r="C55" s="8" t="s">
        <v>36</v>
      </c>
      <c r="D55" s="8">
        <v>10</v>
      </c>
      <c r="E55" s="6" t="s">
        <v>18</v>
      </c>
      <c r="F55" s="6">
        <v>5</v>
      </c>
      <c r="G55" s="6">
        <v>5</v>
      </c>
      <c r="H55" s="86">
        <f t="shared" si="0"/>
        <v>1</v>
      </c>
      <c r="I55" s="6">
        <v>2</v>
      </c>
      <c r="J55" s="6">
        <v>0</v>
      </c>
      <c r="K55" s="6">
        <v>0</v>
      </c>
    </row>
    <row r="56" spans="1:11" x14ac:dyDescent="0.2">
      <c r="A56" s="5">
        <v>39343</v>
      </c>
      <c r="B56" s="6">
        <v>3</v>
      </c>
      <c r="C56" s="8" t="s">
        <v>36</v>
      </c>
      <c r="D56" s="8">
        <v>10</v>
      </c>
      <c r="E56" s="6" t="s">
        <v>18</v>
      </c>
      <c r="F56" s="6">
        <v>5</v>
      </c>
      <c r="G56" s="6">
        <v>5</v>
      </c>
      <c r="H56" s="86">
        <f t="shared" si="0"/>
        <v>1</v>
      </c>
      <c r="I56" s="6">
        <v>5</v>
      </c>
      <c r="J56" s="6">
        <v>0</v>
      </c>
      <c r="K56" s="6">
        <v>3</v>
      </c>
    </row>
    <row r="57" spans="1:11" x14ac:dyDescent="0.2">
      <c r="A57" s="5">
        <v>39350</v>
      </c>
      <c r="B57" s="6">
        <v>4</v>
      </c>
      <c r="C57" s="8" t="s">
        <v>36</v>
      </c>
      <c r="D57" s="8">
        <v>10</v>
      </c>
      <c r="E57" s="6" t="s">
        <v>18</v>
      </c>
      <c r="F57" s="6">
        <v>5</v>
      </c>
      <c r="G57" s="6">
        <v>0</v>
      </c>
      <c r="H57" s="86">
        <f t="shared" si="0"/>
        <v>0</v>
      </c>
      <c r="I57" s="6">
        <v>1</v>
      </c>
      <c r="J57" s="6">
        <v>0</v>
      </c>
      <c r="K57" s="6">
        <v>0</v>
      </c>
    </row>
    <row r="58" spans="1:11" x14ac:dyDescent="0.2">
      <c r="A58" s="5">
        <v>39356</v>
      </c>
      <c r="B58" s="6">
        <v>5</v>
      </c>
      <c r="C58" s="8" t="s">
        <v>36</v>
      </c>
      <c r="D58" s="8">
        <v>10</v>
      </c>
      <c r="E58" s="6" t="s">
        <v>18</v>
      </c>
      <c r="F58" s="6">
        <v>5</v>
      </c>
      <c r="G58" s="6">
        <v>0</v>
      </c>
      <c r="H58" s="86">
        <f t="shared" si="0"/>
        <v>0</v>
      </c>
      <c r="I58" s="6">
        <v>0</v>
      </c>
      <c r="J58" s="6">
        <v>0</v>
      </c>
      <c r="K58" s="6">
        <v>0</v>
      </c>
    </row>
    <row r="59" spans="1:11" x14ac:dyDescent="0.2">
      <c r="A59" s="5">
        <v>39329</v>
      </c>
      <c r="B59" s="6">
        <v>1</v>
      </c>
      <c r="C59" s="8" t="s">
        <v>37</v>
      </c>
      <c r="D59" s="8">
        <v>11</v>
      </c>
      <c r="E59" s="6" t="s">
        <v>19</v>
      </c>
      <c r="F59" s="6">
        <v>4</v>
      </c>
      <c r="G59" s="6">
        <v>0</v>
      </c>
      <c r="H59" s="86">
        <f t="shared" si="0"/>
        <v>0</v>
      </c>
      <c r="I59" s="6">
        <v>0</v>
      </c>
      <c r="J59" s="6">
        <v>0</v>
      </c>
      <c r="K59" s="6">
        <v>0</v>
      </c>
    </row>
    <row r="60" spans="1:11" x14ac:dyDescent="0.2">
      <c r="A60" s="5">
        <v>39336</v>
      </c>
      <c r="B60" s="6">
        <v>2</v>
      </c>
      <c r="C60" s="8" t="s">
        <v>37</v>
      </c>
      <c r="D60" s="8">
        <v>11</v>
      </c>
      <c r="E60" s="6" t="s">
        <v>19</v>
      </c>
      <c r="F60" s="6">
        <v>4</v>
      </c>
      <c r="G60" s="6">
        <v>1</v>
      </c>
      <c r="H60" s="86">
        <f t="shared" si="0"/>
        <v>0.25</v>
      </c>
      <c r="I60" s="6">
        <v>0</v>
      </c>
      <c r="J60" s="6">
        <v>0</v>
      </c>
      <c r="K60" s="6">
        <v>0</v>
      </c>
    </row>
    <row r="61" spans="1:11" x14ac:dyDescent="0.2">
      <c r="A61" s="5">
        <v>39343</v>
      </c>
      <c r="B61" s="6">
        <v>3</v>
      </c>
      <c r="C61" s="8" t="s">
        <v>37</v>
      </c>
      <c r="D61" s="8">
        <v>11</v>
      </c>
      <c r="E61" s="6" t="s">
        <v>19</v>
      </c>
      <c r="F61" s="6">
        <v>4</v>
      </c>
      <c r="G61" s="6">
        <v>0</v>
      </c>
      <c r="H61" s="86">
        <f t="shared" si="0"/>
        <v>0</v>
      </c>
      <c r="I61" s="6">
        <v>1</v>
      </c>
      <c r="J61" s="6">
        <v>1</v>
      </c>
      <c r="K61" s="6">
        <v>0</v>
      </c>
    </row>
    <row r="62" spans="1:11" x14ac:dyDescent="0.2">
      <c r="A62" s="5">
        <v>39350</v>
      </c>
      <c r="B62" s="6">
        <v>4</v>
      </c>
      <c r="C62" s="8" t="s">
        <v>37</v>
      </c>
      <c r="D62" s="8">
        <v>11</v>
      </c>
      <c r="E62" s="6" t="s">
        <v>19</v>
      </c>
      <c r="F62" s="6">
        <v>4</v>
      </c>
      <c r="G62" s="6">
        <v>0</v>
      </c>
      <c r="H62" s="86">
        <f t="shared" si="0"/>
        <v>0</v>
      </c>
      <c r="I62" s="6">
        <v>0</v>
      </c>
      <c r="J62" s="6">
        <v>0</v>
      </c>
      <c r="K62" s="6">
        <v>0</v>
      </c>
    </row>
    <row r="63" spans="1:11" x14ac:dyDescent="0.2">
      <c r="A63" s="5">
        <v>39356</v>
      </c>
      <c r="B63" s="6">
        <v>5</v>
      </c>
      <c r="C63" s="8" t="s">
        <v>37</v>
      </c>
      <c r="D63" s="8">
        <v>11</v>
      </c>
      <c r="E63" s="6" t="s">
        <v>19</v>
      </c>
      <c r="F63" s="6">
        <v>4</v>
      </c>
      <c r="G63" s="6">
        <v>0</v>
      </c>
      <c r="H63" s="86">
        <f t="shared" si="0"/>
        <v>0</v>
      </c>
      <c r="I63" s="6">
        <v>0</v>
      </c>
      <c r="J63" s="6">
        <v>0</v>
      </c>
      <c r="K63" s="6">
        <v>0</v>
      </c>
    </row>
    <row r="64" spans="1:11" x14ac:dyDescent="0.2">
      <c r="A64" s="5">
        <v>39329</v>
      </c>
      <c r="B64" s="6">
        <v>1</v>
      </c>
      <c r="C64" s="8" t="s">
        <v>38</v>
      </c>
      <c r="D64" s="8">
        <v>12</v>
      </c>
      <c r="E64" s="6" t="s">
        <v>20</v>
      </c>
      <c r="F64" s="6">
        <v>3</v>
      </c>
      <c r="G64" s="6">
        <v>0</v>
      </c>
      <c r="H64" s="86">
        <f t="shared" si="0"/>
        <v>0</v>
      </c>
      <c r="I64" s="6">
        <v>0</v>
      </c>
      <c r="J64" s="6">
        <v>0</v>
      </c>
      <c r="K64" s="6">
        <v>0</v>
      </c>
    </row>
    <row r="65" spans="1:11" x14ac:dyDescent="0.2">
      <c r="A65" s="5">
        <v>39336</v>
      </c>
      <c r="B65" s="6">
        <v>2</v>
      </c>
      <c r="C65" s="8" t="s">
        <v>38</v>
      </c>
      <c r="D65" s="8">
        <v>12</v>
      </c>
      <c r="E65" s="6" t="s">
        <v>20</v>
      </c>
      <c r="F65" s="6">
        <v>3</v>
      </c>
      <c r="G65" s="6">
        <v>1</v>
      </c>
      <c r="H65" s="86">
        <f t="shared" si="0"/>
        <v>0.33333333333333331</v>
      </c>
      <c r="I65" s="6">
        <v>1</v>
      </c>
      <c r="J65" s="6">
        <v>0</v>
      </c>
      <c r="K65" s="6">
        <v>0</v>
      </c>
    </row>
    <row r="66" spans="1:11" x14ac:dyDescent="0.2">
      <c r="A66" s="5">
        <v>39343</v>
      </c>
      <c r="B66" s="6">
        <v>3</v>
      </c>
      <c r="C66" s="8" t="s">
        <v>38</v>
      </c>
      <c r="D66" s="8">
        <v>12</v>
      </c>
      <c r="E66" s="6" t="s">
        <v>20</v>
      </c>
      <c r="F66" s="6">
        <v>3</v>
      </c>
      <c r="G66" s="6">
        <v>1</v>
      </c>
      <c r="H66" s="86">
        <f t="shared" si="0"/>
        <v>0.33333333333333331</v>
      </c>
      <c r="I66" s="6">
        <v>3</v>
      </c>
      <c r="J66" s="6">
        <v>0</v>
      </c>
      <c r="K66" s="6">
        <v>0</v>
      </c>
    </row>
    <row r="67" spans="1:11" x14ac:dyDescent="0.2">
      <c r="A67" s="5">
        <v>39350</v>
      </c>
      <c r="B67" s="6">
        <v>4</v>
      </c>
      <c r="C67" s="8" t="s">
        <v>38</v>
      </c>
      <c r="D67" s="8">
        <v>12</v>
      </c>
      <c r="E67" s="6" t="s">
        <v>20</v>
      </c>
      <c r="F67" s="6">
        <v>3</v>
      </c>
      <c r="G67" s="6">
        <v>0</v>
      </c>
      <c r="H67" s="86">
        <f t="shared" si="0"/>
        <v>0</v>
      </c>
      <c r="I67" s="6">
        <v>2</v>
      </c>
      <c r="J67" s="6">
        <v>0</v>
      </c>
      <c r="K67" s="6">
        <v>0</v>
      </c>
    </row>
    <row r="68" spans="1:11" x14ac:dyDescent="0.2">
      <c r="A68" s="5">
        <v>39356</v>
      </c>
      <c r="B68" s="6">
        <v>5</v>
      </c>
      <c r="C68" s="8" t="s">
        <v>38</v>
      </c>
      <c r="D68" s="8">
        <v>12</v>
      </c>
      <c r="E68" s="6" t="s">
        <v>20</v>
      </c>
      <c r="F68" s="6">
        <v>3</v>
      </c>
      <c r="G68" s="6">
        <v>0</v>
      </c>
      <c r="H68" s="86">
        <f t="shared" si="0"/>
        <v>0</v>
      </c>
      <c r="I68" s="6">
        <v>0</v>
      </c>
      <c r="J68" s="6">
        <v>0</v>
      </c>
      <c r="K68" s="6">
        <v>1</v>
      </c>
    </row>
    <row r="69" spans="1:11" x14ac:dyDescent="0.2">
      <c r="A69" s="5">
        <v>39338</v>
      </c>
      <c r="B69" s="6">
        <v>1</v>
      </c>
      <c r="C69" s="8" t="s">
        <v>124</v>
      </c>
      <c r="D69" s="8">
        <v>13</v>
      </c>
      <c r="E69" s="6" t="s">
        <v>21</v>
      </c>
      <c r="F69" s="6">
        <v>3</v>
      </c>
      <c r="G69" s="6">
        <v>0</v>
      </c>
      <c r="H69" s="86">
        <f t="shared" ref="H69:H77" si="1">G69/F69</f>
        <v>0</v>
      </c>
      <c r="I69" s="6">
        <v>0</v>
      </c>
      <c r="J69" s="6">
        <v>0</v>
      </c>
    </row>
    <row r="70" spans="1:11" x14ac:dyDescent="0.2">
      <c r="A70" s="5">
        <v>39345</v>
      </c>
      <c r="B70" s="6">
        <v>2</v>
      </c>
      <c r="C70" s="8" t="s">
        <v>124</v>
      </c>
      <c r="D70" s="8">
        <v>13</v>
      </c>
      <c r="E70" s="6" t="s">
        <v>21</v>
      </c>
      <c r="F70" s="6">
        <v>3</v>
      </c>
      <c r="G70" s="6">
        <v>0</v>
      </c>
      <c r="H70" s="86">
        <f t="shared" si="1"/>
        <v>0</v>
      </c>
      <c r="I70" s="6">
        <v>0</v>
      </c>
      <c r="J70" s="6">
        <v>0</v>
      </c>
      <c r="K70" s="6">
        <v>0</v>
      </c>
    </row>
    <row r="71" spans="1:11" x14ac:dyDescent="0.2">
      <c r="A71" s="5">
        <v>39351</v>
      </c>
      <c r="B71" s="6">
        <v>3</v>
      </c>
      <c r="C71" s="8" t="s">
        <v>124</v>
      </c>
      <c r="D71" s="8">
        <v>13</v>
      </c>
      <c r="E71" s="6" t="s">
        <v>21</v>
      </c>
      <c r="F71" s="6">
        <v>3</v>
      </c>
      <c r="G71" s="6">
        <v>0</v>
      </c>
      <c r="H71" s="86">
        <f t="shared" si="1"/>
        <v>0</v>
      </c>
      <c r="I71" s="6">
        <v>0</v>
      </c>
      <c r="J71" s="6">
        <v>0</v>
      </c>
      <c r="K71" s="6">
        <v>0</v>
      </c>
    </row>
    <row r="72" spans="1:11" x14ac:dyDescent="0.2">
      <c r="A72" s="5">
        <v>39357</v>
      </c>
      <c r="B72" s="6">
        <v>4</v>
      </c>
      <c r="C72" s="8" t="s">
        <v>124</v>
      </c>
      <c r="D72" s="8">
        <v>13</v>
      </c>
      <c r="E72" s="6" t="s">
        <v>21</v>
      </c>
      <c r="F72" s="6">
        <v>3</v>
      </c>
      <c r="G72" s="6">
        <v>0</v>
      </c>
      <c r="H72" s="86">
        <f t="shared" si="1"/>
        <v>0</v>
      </c>
      <c r="I72" s="6">
        <v>0</v>
      </c>
      <c r="J72" s="6">
        <v>0</v>
      </c>
      <c r="K72" s="6">
        <v>0</v>
      </c>
    </row>
    <row r="73" spans="1:11" x14ac:dyDescent="0.2">
      <c r="A73" s="5">
        <v>39338</v>
      </c>
      <c r="B73" s="6">
        <v>1</v>
      </c>
      <c r="C73" s="8" t="s">
        <v>123</v>
      </c>
      <c r="D73" s="8">
        <v>14</v>
      </c>
      <c r="E73" s="6" t="s">
        <v>22</v>
      </c>
      <c r="F73" s="6">
        <v>3</v>
      </c>
      <c r="G73" s="6">
        <v>1</v>
      </c>
      <c r="H73" s="86">
        <f t="shared" si="1"/>
        <v>0.33333333333333331</v>
      </c>
      <c r="I73" s="6">
        <v>0</v>
      </c>
      <c r="J73" s="6">
        <v>0</v>
      </c>
    </row>
    <row r="74" spans="1:11" x14ac:dyDescent="0.2">
      <c r="A74" s="5">
        <v>39345</v>
      </c>
      <c r="B74" s="6">
        <v>2</v>
      </c>
      <c r="C74" s="8" t="s">
        <v>123</v>
      </c>
      <c r="D74" s="8">
        <v>14</v>
      </c>
      <c r="E74" s="6" t="s">
        <v>22</v>
      </c>
      <c r="F74" s="6">
        <v>3</v>
      </c>
      <c r="G74" s="6">
        <v>0</v>
      </c>
      <c r="H74" s="86">
        <f t="shared" si="1"/>
        <v>0</v>
      </c>
      <c r="I74" s="6">
        <v>0</v>
      </c>
      <c r="J74" s="6">
        <v>0</v>
      </c>
      <c r="K74" s="6">
        <v>0</v>
      </c>
    </row>
    <row r="75" spans="1:11" x14ac:dyDescent="0.2">
      <c r="A75" s="5">
        <v>39351</v>
      </c>
      <c r="B75" s="6">
        <v>3</v>
      </c>
      <c r="C75" s="8" t="s">
        <v>123</v>
      </c>
      <c r="D75" s="8">
        <v>14</v>
      </c>
      <c r="E75" s="6" t="s">
        <v>22</v>
      </c>
      <c r="F75" s="6">
        <v>3</v>
      </c>
      <c r="G75" s="6">
        <v>0</v>
      </c>
      <c r="H75" s="86">
        <f t="shared" si="1"/>
        <v>0</v>
      </c>
      <c r="I75" s="6">
        <v>0</v>
      </c>
      <c r="J75" s="6">
        <v>0</v>
      </c>
      <c r="K75" s="6">
        <v>0</v>
      </c>
    </row>
    <row r="76" spans="1:11" ht="13.5" thickBot="1" x14ac:dyDescent="0.25">
      <c r="A76" s="5">
        <v>39357</v>
      </c>
      <c r="B76" s="6">
        <v>4</v>
      </c>
      <c r="C76" s="8" t="s">
        <v>123</v>
      </c>
      <c r="D76" s="8">
        <v>14</v>
      </c>
      <c r="E76" s="6" t="s">
        <v>22</v>
      </c>
      <c r="F76" s="80">
        <v>3</v>
      </c>
      <c r="G76" s="80">
        <v>0</v>
      </c>
      <c r="H76" s="87">
        <f t="shared" si="1"/>
        <v>0</v>
      </c>
      <c r="I76" s="80">
        <v>0</v>
      </c>
      <c r="J76" s="80">
        <v>0</v>
      </c>
      <c r="K76" s="80">
        <v>0</v>
      </c>
    </row>
    <row r="77" spans="1:11" x14ac:dyDescent="0.2">
      <c r="F77" s="3">
        <f>SUM(F4:F76)</f>
        <v>258</v>
      </c>
      <c r="G77" s="3">
        <f>SUM(G4:G76)</f>
        <v>69</v>
      </c>
      <c r="H77" s="88">
        <f t="shared" si="1"/>
        <v>0.26744186046511625</v>
      </c>
      <c r="I77" s="3">
        <f t="shared" ref="I77:K77" si="2">SUM(I4:I76)</f>
        <v>83</v>
      </c>
      <c r="J77" s="3">
        <f t="shared" si="2"/>
        <v>7</v>
      </c>
      <c r="K77" s="3">
        <f t="shared" si="2"/>
        <v>20</v>
      </c>
    </row>
  </sheetData>
  <sortState xmlns:xlrd2="http://schemas.microsoft.com/office/spreadsheetml/2017/richdata2" ref="A4:K76">
    <sortCondition ref="D4:D76"/>
  </sortState>
  <phoneticPr fontId="0" type="noConversion"/>
  <pageMargins left="0.75" right="0.75" top="1" bottom="1" header="0.5" footer="0.5"/>
  <pageSetup orientation="portrait" r:id="rId1"/>
  <headerFooter alignWithMargins="0"/>
  <ignoredErrors>
    <ignoredError sqref="H77" formula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9"/>
  <sheetViews>
    <sheetView workbookViewId="0">
      <pane ySplit="3" topLeftCell="A4" activePane="bottomLeft" state="frozen"/>
      <selection pane="bottomLeft" activeCell="G22" sqref="G22:G36"/>
    </sheetView>
  </sheetViews>
  <sheetFormatPr defaultRowHeight="12.75" x14ac:dyDescent="0.2"/>
  <cols>
    <col min="5" max="5" width="29.140625" bestFit="1" customWidth="1"/>
  </cols>
  <sheetData>
    <row r="1" spans="1:11" x14ac:dyDescent="0.2">
      <c r="A1" s="2"/>
      <c r="B1" s="2"/>
      <c r="C1" s="2" t="s">
        <v>25</v>
      </c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1" x14ac:dyDescent="0.2">
      <c r="A2" s="2" t="s">
        <v>0</v>
      </c>
      <c r="B2" s="2" t="s">
        <v>1</v>
      </c>
      <c r="C2" s="2" t="s">
        <v>26</v>
      </c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1" ht="13.5" thickBot="1" x14ac:dyDescent="0.25">
      <c r="A3" s="1"/>
      <c r="I3" s="1"/>
      <c r="J3" s="4" t="s">
        <v>6</v>
      </c>
      <c r="K3" s="4" t="s">
        <v>7</v>
      </c>
    </row>
    <row r="4" spans="1:11" x14ac:dyDescent="0.2">
      <c r="A4" s="5">
        <v>39324</v>
      </c>
      <c r="B4" s="6">
        <v>1</v>
      </c>
      <c r="C4" s="8" t="s">
        <v>27</v>
      </c>
      <c r="D4" s="8">
        <v>1</v>
      </c>
      <c r="E4" s="6" t="s">
        <v>9</v>
      </c>
      <c r="F4" s="6">
        <v>6</v>
      </c>
      <c r="G4" s="6">
        <v>0</v>
      </c>
      <c r="H4" s="86">
        <f>G4/F4</f>
        <v>0</v>
      </c>
      <c r="I4" s="6">
        <v>0</v>
      </c>
      <c r="J4" s="6">
        <v>0</v>
      </c>
      <c r="K4" s="6">
        <v>0</v>
      </c>
    </row>
    <row r="5" spans="1:11" x14ac:dyDescent="0.2">
      <c r="A5" s="5">
        <v>39350</v>
      </c>
      <c r="B5" s="6">
        <v>2</v>
      </c>
      <c r="C5" s="8" t="s">
        <v>27</v>
      </c>
      <c r="D5" s="8">
        <v>1</v>
      </c>
      <c r="E5" s="6" t="s">
        <v>9</v>
      </c>
      <c r="F5" s="6">
        <v>6</v>
      </c>
      <c r="G5" s="6">
        <v>0</v>
      </c>
      <c r="H5" s="86">
        <f t="shared" ref="H5:H39" si="0">G5/F5</f>
        <v>0</v>
      </c>
      <c r="I5" s="6">
        <v>0</v>
      </c>
      <c r="J5" s="6">
        <v>0</v>
      </c>
      <c r="K5" s="6">
        <v>0</v>
      </c>
    </row>
    <row r="6" spans="1:11" x14ac:dyDescent="0.2">
      <c r="A6" s="5">
        <v>39324</v>
      </c>
      <c r="B6" s="6">
        <v>1</v>
      </c>
      <c r="C6" s="8" t="s">
        <v>28</v>
      </c>
      <c r="D6" s="8">
        <v>2</v>
      </c>
      <c r="E6" s="6" t="s">
        <v>10</v>
      </c>
      <c r="F6" s="6">
        <v>3</v>
      </c>
      <c r="G6" s="6">
        <v>0</v>
      </c>
      <c r="H6" s="86">
        <f t="shared" si="0"/>
        <v>0</v>
      </c>
      <c r="I6" s="6">
        <v>0</v>
      </c>
      <c r="J6" s="6">
        <v>0</v>
      </c>
      <c r="K6" s="6">
        <v>0</v>
      </c>
    </row>
    <row r="7" spans="1:11" x14ac:dyDescent="0.2">
      <c r="A7" s="5">
        <v>39350</v>
      </c>
      <c r="B7" s="6">
        <v>2</v>
      </c>
      <c r="C7" s="8" t="s">
        <v>28</v>
      </c>
      <c r="D7" s="8">
        <v>2</v>
      </c>
      <c r="E7" s="6" t="s">
        <v>10</v>
      </c>
      <c r="F7" s="6">
        <v>3</v>
      </c>
      <c r="G7" s="6">
        <v>0</v>
      </c>
      <c r="H7" s="86">
        <f t="shared" si="0"/>
        <v>0</v>
      </c>
      <c r="I7" s="6">
        <v>0</v>
      </c>
      <c r="J7" s="6">
        <v>0</v>
      </c>
      <c r="K7" s="6">
        <v>0</v>
      </c>
    </row>
    <row r="8" spans="1:11" x14ac:dyDescent="0.2">
      <c r="A8" s="5">
        <v>39324</v>
      </c>
      <c r="B8" s="6">
        <v>1</v>
      </c>
      <c r="C8" s="8" t="s">
        <v>29</v>
      </c>
      <c r="D8" s="8">
        <v>3</v>
      </c>
      <c r="E8" s="6" t="s">
        <v>11</v>
      </c>
      <c r="F8" s="6">
        <v>2</v>
      </c>
      <c r="G8" s="6">
        <v>0</v>
      </c>
      <c r="H8" s="86">
        <f t="shared" si="0"/>
        <v>0</v>
      </c>
      <c r="I8" s="6">
        <v>0</v>
      </c>
      <c r="J8" s="6">
        <v>0</v>
      </c>
      <c r="K8" s="6">
        <v>0</v>
      </c>
    </row>
    <row r="9" spans="1:11" x14ac:dyDescent="0.2">
      <c r="A9" s="5">
        <v>39350</v>
      </c>
      <c r="B9" s="6">
        <v>2</v>
      </c>
      <c r="C9" s="8" t="s">
        <v>29</v>
      </c>
      <c r="D9" s="8">
        <v>3</v>
      </c>
      <c r="E9" s="6" t="s">
        <v>11</v>
      </c>
      <c r="F9" s="6">
        <v>2</v>
      </c>
      <c r="G9" s="6">
        <v>0</v>
      </c>
      <c r="H9" s="86">
        <f t="shared" si="0"/>
        <v>0</v>
      </c>
      <c r="I9" s="6">
        <v>0</v>
      </c>
      <c r="J9" s="6">
        <v>0</v>
      </c>
      <c r="K9" s="6">
        <v>0</v>
      </c>
    </row>
    <row r="10" spans="1:11" x14ac:dyDescent="0.2">
      <c r="A10" s="5">
        <v>39324</v>
      </c>
      <c r="B10" s="6">
        <v>1</v>
      </c>
      <c r="C10" s="8" t="s">
        <v>30</v>
      </c>
      <c r="D10" s="8">
        <v>4</v>
      </c>
      <c r="E10" s="6" t="s">
        <v>12</v>
      </c>
      <c r="F10" s="6">
        <v>5</v>
      </c>
      <c r="G10" s="6">
        <v>0</v>
      </c>
      <c r="H10" s="86">
        <f t="shared" si="0"/>
        <v>0</v>
      </c>
      <c r="I10" s="6">
        <v>0</v>
      </c>
      <c r="J10" s="6">
        <v>0</v>
      </c>
      <c r="K10" s="6">
        <v>0</v>
      </c>
    </row>
    <row r="11" spans="1:11" x14ac:dyDescent="0.2">
      <c r="A11" s="5">
        <v>39350</v>
      </c>
      <c r="B11" s="6">
        <v>2</v>
      </c>
      <c r="C11" s="8" t="s">
        <v>30</v>
      </c>
      <c r="D11" s="8">
        <v>4</v>
      </c>
      <c r="E11" s="6" t="s">
        <v>12</v>
      </c>
      <c r="F11" s="6">
        <v>5</v>
      </c>
      <c r="G11" s="6">
        <v>0</v>
      </c>
      <c r="H11" s="86">
        <f t="shared" si="0"/>
        <v>0</v>
      </c>
      <c r="I11" s="6">
        <v>0</v>
      </c>
      <c r="J11" s="6">
        <v>0</v>
      </c>
      <c r="K11" s="6">
        <v>0</v>
      </c>
    </row>
    <row r="12" spans="1:11" x14ac:dyDescent="0.2">
      <c r="A12" s="5">
        <v>39324</v>
      </c>
      <c r="B12" s="6">
        <v>1</v>
      </c>
      <c r="C12" s="8" t="s">
        <v>31</v>
      </c>
      <c r="D12" s="8">
        <v>5</v>
      </c>
      <c r="E12" s="6" t="s">
        <v>13</v>
      </c>
      <c r="F12" s="6">
        <v>2</v>
      </c>
      <c r="G12" s="6">
        <v>0</v>
      </c>
      <c r="H12" s="86">
        <f t="shared" si="0"/>
        <v>0</v>
      </c>
      <c r="I12" s="6">
        <v>0</v>
      </c>
      <c r="J12" s="6">
        <v>0</v>
      </c>
      <c r="K12" s="6">
        <v>0</v>
      </c>
    </row>
    <row r="13" spans="1:11" x14ac:dyDescent="0.2">
      <c r="A13" s="5">
        <v>39350</v>
      </c>
      <c r="B13" s="6">
        <v>2</v>
      </c>
      <c r="C13" s="8" t="s">
        <v>31</v>
      </c>
      <c r="D13" s="8">
        <v>5</v>
      </c>
      <c r="E13" s="6" t="s">
        <v>13</v>
      </c>
      <c r="F13" s="6">
        <v>2</v>
      </c>
      <c r="G13" s="6">
        <v>0</v>
      </c>
      <c r="H13" s="86">
        <f t="shared" si="0"/>
        <v>0</v>
      </c>
      <c r="I13" s="6">
        <v>0</v>
      </c>
      <c r="J13" s="6">
        <v>0</v>
      </c>
      <c r="K13" s="6">
        <v>0</v>
      </c>
    </row>
    <row r="14" spans="1:11" x14ac:dyDescent="0.2">
      <c r="A14" s="5">
        <v>39324</v>
      </c>
      <c r="B14" s="6">
        <v>1</v>
      </c>
      <c r="C14" s="8" t="s">
        <v>32</v>
      </c>
      <c r="D14" s="8">
        <v>6</v>
      </c>
      <c r="E14" s="6" t="s">
        <v>14</v>
      </c>
      <c r="F14" s="6">
        <v>4</v>
      </c>
      <c r="G14" s="6">
        <v>0</v>
      </c>
      <c r="H14" s="86">
        <f t="shared" si="0"/>
        <v>0</v>
      </c>
      <c r="I14" s="6">
        <v>0</v>
      </c>
      <c r="J14" s="6">
        <v>0</v>
      </c>
      <c r="K14" s="6">
        <v>0</v>
      </c>
    </row>
    <row r="15" spans="1:11" x14ac:dyDescent="0.2">
      <c r="A15" s="5">
        <v>39350</v>
      </c>
      <c r="B15" s="6">
        <v>2</v>
      </c>
      <c r="C15" s="8" t="s">
        <v>32</v>
      </c>
      <c r="D15" s="8">
        <v>6</v>
      </c>
      <c r="E15" s="6" t="s">
        <v>14</v>
      </c>
      <c r="F15" s="6">
        <v>4</v>
      </c>
      <c r="G15" s="6">
        <v>0</v>
      </c>
      <c r="H15" s="86">
        <f t="shared" si="0"/>
        <v>0</v>
      </c>
      <c r="I15" s="6">
        <v>0</v>
      </c>
      <c r="J15" s="6">
        <v>0</v>
      </c>
      <c r="K15" s="6">
        <v>0</v>
      </c>
    </row>
    <row r="16" spans="1:11" x14ac:dyDescent="0.2">
      <c r="A16" s="5">
        <v>39324</v>
      </c>
      <c r="B16" s="6">
        <v>1</v>
      </c>
      <c r="C16" s="8" t="s">
        <v>33</v>
      </c>
      <c r="D16" s="8">
        <v>7</v>
      </c>
      <c r="E16" s="6" t="s">
        <v>15</v>
      </c>
      <c r="F16" s="6">
        <v>3</v>
      </c>
      <c r="G16" s="6">
        <v>0</v>
      </c>
      <c r="H16" s="86">
        <f t="shared" si="0"/>
        <v>0</v>
      </c>
      <c r="I16" s="6">
        <v>0</v>
      </c>
      <c r="J16" s="6">
        <v>0</v>
      </c>
      <c r="K16" s="6">
        <v>0</v>
      </c>
    </row>
    <row r="17" spans="1:11" x14ac:dyDescent="0.2">
      <c r="A17" s="5">
        <v>39350</v>
      </c>
      <c r="B17" s="6">
        <v>2</v>
      </c>
      <c r="C17" s="8" t="s">
        <v>33</v>
      </c>
      <c r="D17" s="8">
        <v>7</v>
      </c>
      <c r="E17" s="6" t="s">
        <v>15</v>
      </c>
      <c r="F17" s="6">
        <v>3</v>
      </c>
      <c r="G17" s="6">
        <v>0</v>
      </c>
      <c r="H17" s="86">
        <f t="shared" si="0"/>
        <v>0</v>
      </c>
      <c r="I17" s="6">
        <v>0</v>
      </c>
      <c r="J17" s="6">
        <v>0</v>
      </c>
      <c r="K17" s="6">
        <v>0</v>
      </c>
    </row>
    <row r="18" spans="1:11" x14ac:dyDescent="0.2">
      <c r="A18" s="5">
        <v>39324</v>
      </c>
      <c r="B18" s="6">
        <v>1</v>
      </c>
      <c r="C18" s="8" t="s">
        <v>34</v>
      </c>
      <c r="D18" s="8">
        <v>8</v>
      </c>
      <c r="E18" s="6" t="s">
        <v>16</v>
      </c>
      <c r="F18" s="6">
        <v>3</v>
      </c>
      <c r="G18" s="6">
        <v>0</v>
      </c>
      <c r="H18" s="86">
        <f t="shared" si="0"/>
        <v>0</v>
      </c>
      <c r="I18" s="6">
        <v>0</v>
      </c>
      <c r="J18" s="6">
        <v>0</v>
      </c>
      <c r="K18" s="6">
        <v>0</v>
      </c>
    </row>
    <row r="19" spans="1:11" x14ac:dyDescent="0.2">
      <c r="A19" s="5">
        <v>39337</v>
      </c>
      <c r="B19" s="6">
        <v>2</v>
      </c>
      <c r="C19" s="8" t="s">
        <v>34</v>
      </c>
      <c r="D19" s="8">
        <v>8</v>
      </c>
      <c r="E19" s="6" t="s">
        <v>16</v>
      </c>
      <c r="F19" s="6">
        <v>3</v>
      </c>
      <c r="G19" s="6">
        <v>0</v>
      </c>
      <c r="H19" s="86">
        <f t="shared" si="0"/>
        <v>0</v>
      </c>
      <c r="I19" s="6">
        <v>0</v>
      </c>
      <c r="J19" s="6">
        <v>0</v>
      </c>
      <c r="K19" s="6">
        <v>0</v>
      </c>
    </row>
    <row r="20" spans="1:11" x14ac:dyDescent="0.2">
      <c r="A20" s="5">
        <v>39344</v>
      </c>
      <c r="B20" s="6">
        <v>3</v>
      </c>
      <c r="C20" s="8" t="s">
        <v>34</v>
      </c>
      <c r="D20" s="8">
        <v>8</v>
      </c>
      <c r="E20" s="6" t="s">
        <v>16</v>
      </c>
      <c r="F20" s="6">
        <v>3</v>
      </c>
      <c r="G20" s="6">
        <v>0</v>
      </c>
      <c r="H20" s="86">
        <f t="shared" si="0"/>
        <v>0</v>
      </c>
      <c r="I20" s="6">
        <v>0</v>
      </c>
      <c r="J20" s="6">
        <v>0</v>
      </c>
      <c r="K20" s="6">
        <v>0</v>
      </c>
    </row>
    <row r="21" spans="1:11" x14ac:dyDescent="0.2">
      <c r="A21" s="5">
        <v>39350</v>
      </c>
      <c r="B21" s="6">
        <v>4</v>
      </c>
      <c r="C21" s="8" t="s">
        <v>34</v>
      </c>
      <c r="D21" s="8">
        <v>8</v>
      </c>
      <c r="E21" s="6" t="s">
        <v>16</v>
      </c>
      <c r="F21" s="6">
        <v>3</v>
      </c>
      <c r="G21" s="6">
        <v>0</v>
      </c>
      <c r="H21" s="86">
        <f t="shared" si="0"/>
        <v>0</v>
      </c>
      <c r="I21" s="6">
        <v>1</v>
      </c>
      <c r="J21" s="6">
        <v>0</v>
      </c>
      <c r="K21" s="6">
        <v>1</v>
      </c>
    </row>
    <row r="22" spans="1:11" x14ac:dyDescent="0.2">
      <c r="A22" s="5">
        <v>39324</v>
      </c>
      <c r="B22" s="6">
        <v>1</v>
      </c>
      <c r="C22" s="8" t="s">
        <v>35</v>
      </c>
      <c r="D22" s="8">
        <v>9</v>
      </c>
      <c r="E22" s="6" t="s">
        <v>17</v>
      </c>
      <c r="F22" s="6">
        <v>4</v>
      </c>
      <c r="G22" s="6">
        <v>2</v>
      </c>
      <c r="H22" s="86">
        <f t="shared" si="0"/>
        <v>0.5</v>
      </c>
      <c r="I22" s="6">
        <v>3</v>
      </c>
      <c r="J22" s="6">
        <v>0</v>
      </c>
      <c r="K22" s="6">
        <v>0</v>
      </c>
    </row>
    <row r="23" spans="1:11" x14ac:dyDescent="0.2">
      <c r="A23" s="5">
        <v>39337</v>
      </c>
      <c r="B23" s="6">
        <v>2</v>
      </c>
      <c r="C23" s="8" t="s">
        <v>35</v>
      </c>
      <c r="D23" s="8">
        <v>9</v>
      </c>
      <c r="E23" s="6" t="s">
        <v>17</v>
      </c>
      <c r="F23" s="6">
        <v>4</v>
      </c>
      <c r="G23" s="6">
        <v>0</v>
      </c>
      <c r="H23" s="86">
        <f t="shared" si="0"/>
        <v>0</v>
      </c>
      <c r="I23" s="6">
        <v>0</v>
      </c>
      <c r="J23" s="6">
        <v>0</v>
      </c>
      <c r="K23" s="6">
        <v>0</v>
      </c>
    </row>
    <row r="24" spans="1:11" x14ac:dyDescent="0.2">
      <c r="A24" s="5">
        <v>39344</v>
      </c>
      <c r="B24" s="6">
        <v>3</v>
      </c>
      <c r="C24" s="8" t="s">
        <v>35</v>
      </c>
      <c r="D24" s="8">
        <v>9</v>
      </c>
      <c r="E24" s="6" t="s">
        <v>17</v>
      </c>
      <c r="F24" s="6">
        <v>4</v>
      </c>
      <c r="G24" s="6">
        <v>2</v>
      </c>
      <c r="H24" s="86">
        <f t="shared" si="0"/>
        <v>0.5</v>
      </c>
      <c r="I24" s="6">
        <v>6</v>
      </c>
      <c r="J24" s="6">
        <v>0</v>
      </c>
      <c r="K24" s="6">
        <v>0</v>
      </c>
    </row>
    <row r="25" spans="1:11" x14ac:dyDescent="0.2">
      <c r="A25" s="5">
        <v>39350</v>
      </c>
      <c r="B25" s="6">
        <v>4</v>
      </c>
      <c r="C25" s="8" t="s">
        <v>35</v>
      </c>
      <c r="D25" s="8">
        <v>9</v>
      </c>
      <c r="E25" s="6" t="s">
        <v>17</v>
      </c>
      <c r="F25" s="6">
        <v>4</v>
      </c>
      <c r="G25" s="6">
        <v>0</v>
      </c>
      <c r="H25" s="86">
        <f t="shared" si="0"/>
        <v>0</v>
      </c>
      <c r="I25" s="6">
        <v>2</v>
      </c>
      <c r="J25" s="6">
        <v>0</v>
      </c>
      <c r="K25" s="6">
        <v>0</v>
      </c>
    </row>
    <row r="26" spans="1:11" x14ac:dyDescent="0.2">
      <c r="A26" s="5">
        <v>39324</v>
      </c>
      <c r="B26" s="6">
        <v>1</v>
      </c>
      <c r="C26" s="8" t="s">
        <v>36</v>
      </c>
      <c r="D26" s="8">
        <v>10</v>
      </c>
      <c r="E26" s="6" t="s">
        <v>18</v>
      </c>
      <c r="F26" s="6">
        <v>5</v>
      </c>
      <c r="G26" s="6">
        <v>0</v>
      </c>
      <c r="H26" s="86">
        <f t="shared" si="0"/>
        <v>0</v>
      </c>
      <c r="I26" s="6">
        <v>1</v>
      </c>
      <c r="J26" s="6">
        <v>0</v>
      </c>
      <c r="K26" s="6">
        <v>0</v>
      </c>
    </row>
    <row r="27" spans="1:11" x14ac:dyDescent="0.2">
      <c r="A27" s="5">
        <v>39337</v>
      </c>
      <c r="B27" s="6">
        <v>2</v>
      </c>
      <c r="C27" s="8" t="s">
        <v>36</v>
      </c>
      <c r="D27" s="8">
        <v>10</v>
      </c>
      <c r="E27" s="6" t="s">
        <v>18</v>
      </c>
      <c r="F27" s="6">
        <v>5</v>
      </c>
      <c r="G27" s="6">
        <v>1</v>
      </c>
      <c r="H27" s="86">
        <f t="shared" si="0"/>
        <v>0.2</v>
      </c>
      <c r="I27" s="6">
        <v>8</v>
      </c>
      <c r="J27" s="6">
        <v>0</v>
      </c>
      <c r="K27" s="6">
        <v>0</v>
      </c>
    </row>
    <row r="28" spans="1:11" x14ac:dyDescent="0.2">
      <c r="A28" s="5">
        <v>39344</v>
      </c>
      <c r="B28" s="6">
        <v>3</v>
      </c>
      <c r="C28" s="8" t="s">
        <v>36</v>
      </c>
      <c r="D28" s="8">
        <v>10</v>
      </c>
      <c r="E28" s="6" t="s">
        <v>18</v>
      </c>
      <c r="F28" s="6">
        <v>5</v>
      </c>
      <c r="G28" s="6">
        <v>0</v>
      </c>
      <c r="H28" s="86">
        <f t="shared" si="0"/>
        <v>0</v>
      </c>
      <c r="I28" s="6">
        <v>1</v>
      </c>
      <c r="J28" s="6">
        <v>0</v>
      </c>
      <c r="K28" s="6">
        <v>1</v>
      </c>
    </row>
    <row r="29" spans="1:11" x14ac:dyDescent="0.2">
      <c r="A29" s="5">
        <v>39352</v>
      </c>
      <c r="B29" s="6">
        <v>4</v>
      </c>
      <c r="C29" s="8" t="s">
        <v>36</v>
      </c>
      <c r="D29" s="8">
        <v>10</v>
      </c>
      <c r="E29" s="6" t="s">
        <v>18</v>
      </c>
      <c r="F29" s="6">
        <v>5</v>
      </c>
      <c r="G29" s="6">
        <v>0</v>
      </c>
      <c r="H29" s="86">
        <f t="shared" si="0"/>
        <v>0</v>
      </c>
      <c r="I29" s="6">
        <v>1</v>
      </c>
      <c r="J29" s="6">
        <v>0</v>
      </c>
      <c r="K29" s="6">
        <v>0</v>
      </c>
    </row>
    <row r="30" spans="1:11" x14ac:dyDescent="0.2">
      <c r="A30" s="5">
        <v>39324</v>
      </c>
      <c r="B30" s="6">
        <v>1</v>
      </c>
      <c r="C30" s="8" t="s">
        <v>37</v>
      </c>
      <c r="D30" s="8">
        <v>11</v>
      </c>
      <c r="E30" s="6" t="s">
        <v>19</v>
      </c>
      <c r="F30" s="6">
        <v>4</v>
      </c>
      <c r="G30" s="6">
        <v>0</v>
      </c>
      <c r="H30" s="86">
        <f t="shared" si="0"/>
        <v>0</v>
      </c>
      <c r="I30" s="6">
        <v>0</v>
      </c>
      <c r="J30" s="6">
        <v>0</v>
      </c>
      <c r="K30" s="6">
        <v>0</v>
      </c>
    </row>
    <row r="31" spans="1:11" x14ac:dyDescent="0.2">
      <c r="A31" s="5">
        <v>39337</v>
      </c>
      <c r="B31" s="6">
        <v>2</v>
      </c>
      <c r="C31" s="8" t="s">
        <v>37</v>
      </c>
      <c r="D31" s="8">
        <v>11</v>
      </c>
      <c r="E31" s="6" t="s">
        <v>19</v>
      </c>
      <c r="F31" s="6">
        <v>4</v>
      </c>
      <c r="G31" s="6">
        <v>0</v>
      </c>
      <c r="H31" s="86">
        <f t="shared" si="0"/>
        <v>0</v>
      </c>
      <c r="I31" s="6">
        <v>0</v>
      </c>
      <c r="J31" s="6">
        <v>0</v>
      </c>
      <c r="K31" s="6">
        <v>0</v>
      </c>
    </row>
    <row r="32" spans="1:11" x14ac:dyDescent="0.2">
      <c r="A32" s="5">
        <v>39344</v>
      </c>
      <c r="B32" s="6">
        <v>3</v>
      </c>
      <c r="C32" s="8" t="s">
        <v>37</v>
      </c>
      <c r="D32" s="8">
        <v>11</v>
      </c>
      <c r="E32" s="6" t="s">
        <v>19</v>
      </c>
      <c r="F32" s="6">
        <v>4</v>
      </c>
      <c r="G32" s="6">
        <v>0</v>
      </c>
      <c r="H32" s="86">
        <f t="shared" si="0"/>
        <v>0</v>
      </c>
      <c r="I32" s="6">
        <v>0</v>
      </c>
      <c r="J32" s="6">
        <v>0</v>
      </c>
      <c r="K32" s="6">
        <v>0</v>
      </c>
    </row>
    <row r="33" spans="1:11" x14ac:dyDescent="0.2">
      <c r="A33" s="5">
        <v>39352</v>
      </c>
      <c r="B33" s="6">
        <v>3</v>
      </c>
      <c r="C33" s="8" t="s">
        <v>37</v>
      </c>
      <c r="D33" s="8">
        <v>11</v>
      </c>
      <c r="E33" s="6" t="s">
        <v>19</v>
      </c>
      <c r="F33" s="6">
        <v>4</v>
      </c>
      <c r="G33" s="6">
        <v>0</v>
      </c>
      <c r="H33" s="86">
        <f t="shared" si="0"/>
        <v>0</v>
      </c>
      <c r="I33" s="6">
        <v>0</v>
      </c>
      <c r="J33" s="6">
        <v>0</v>
      </c>
      <c r="K33" s="6">
        <v>0</v>
      </c>
    </row>
    <row r="34" spans="1:11" x14ac:dyDescent="0.2">
      <c r="A34" s="5">
        <v>39337</v>
      </c>
      <c r="B34" s="6">
        <v>1</v>
      </c>
      <c r="C34" s="8" t="s">
        <v>38</v>
      </c>
      <c r="D34" s="8">
        <v>12</v>
      </c>
      <c r="E34" s="6" t="s">
        <v>20</v>
      </c>
      <c r="F34" s="6">
        <v>3</v>
      </c>
      <c r="G34" s="6">
        <v>0</v>
      </c>
      <c r="H34" s="86">
        <f t="shared" si="0"/>
        <v>0</v>
      </c>
      <c r="I34" s="6">
        <v>0</v>
      </c>
      <c r="J34" s="6">
        <v>0</v>
      </c>
      <c r="K34" s="6">
        <v>0</v>
      </c>
    </row>
    <row r="35" spans="1:11" x14ac:dyDescent="0.2">
      <c r="A35" s="5">
        <v>39344</v>
      </c>
      <c r="B35" s="6">
        <v>2</v>
      </c>
      <c r="C35" s="8" t="s">
        <v>38</v>
      </c>
      <c r="D35" s="8">
        <v>12</v>
      </c>
      <c r="E35" s="6" t="s">
        <v>20</v>
      </c>
      <c r="F35" s="6">
        <v>3</v>
      </c>
      <c r="G35" s="6">
        <v>0</v>
      </c>
      <c r="H35" s="86">
        <f t="shared" si="0"/>
        <v>0</v>
      </c>
      <c r="I35" s="6">
        <v>0</v>
      </c>
      <c r="J35" s="6">
        <v>0</v>
      </c>
      <c r="K35" s="6">
        <v>1</v>
      </c>
    </row>
    <row r="36" spans="1:11" x14ac:dyDescent="0.2">
      <c r="A36" s="5">
        <v>39352</v>
      </c>
      <c r="B36" s="6">
        <v>3</v>
      </c>
      <c r="C36" s="8" t="s">
        <v>38</v>
      </c>
      <c r="D36" s="8">
        <v>12</v>
      </c>
      <c r="E36" s="6" t="s">
        <v>20</v>
      </c>
      <c r="F36" s="6">
        <v>3</v>
      </c>
      <c r="G36" s="6">
        <v>0</v>
      </c>
      <c r="H36" s="86">
        <f t="shared" si="0"/>
        <v>0</v>
      </c>
      <c r="I36" s="6">
        <v>0</v>
      </c>
      <c r="J36" s="6">
        <v>0</v>
      </c>
      <c r="K36" s="6">
        <v>0</v>
      </c>
    </row>
    <row r="37" spans="1:11" x14ac:dyDescent="0.2">
      <c r="A37" s="5">
        <v>39352</v>
      </c>
      <c r="B37" s="6">
        <v>1</v>
      </c>
      <c r="C37" s="8" t="s">
        <v>124</v>
      </c>
      <c r="D37" s="8">
        <v>13</v>
      </c>
      <c r="E37" s="6" t="s">
        <v>21</v>
      </c>
      <c r="F37" s="6">
        <v>3</v>
      </c>
      <c r="G37" s="6">
        <v>0</v>
      </c>
      <c r="H37" s="86">
        <f t="shared" si="0"/>
        <v>0</v>
      </c>
      <c r="I37" s="6">
        <v>0</v>
      </c>
      <c r="J37" s="6">
        <v>0</v>
      </c>
      <c r="K37" s="6">
        <v>0</v>
      </c>
    </row>
    <row r="38" spans="1:11" ht="13.5" thickBot="1" x14ac:dyDescent="0.25">
      <c r="A38" s="5">
        <v>39352</v>
      </c>
      <c r="B38" s="6">
        <v>1</v>
      </c>
      <c r="C38" s="8" t="s">
        <v>123</v>
      </c>
      <c r="D38" s="8">
        <v>14</v>
      </c>
      <c r="E38" s="6" t="s">
        <v>22</v>
      </c>
      <c r="F38" s="80">
        <v>3</v>
      </c>
      <c r="G38" s="80">
        <v>0</v>
      </c>
      <c r="H38" s="87">
        <f t="shared" si="0"/>
        <v>0</v>
      </c>
      <c r="I38" s="80">
        <v>0</v>
      </c>
      <c r="J38" s="80">
        <v>0</v>
      </c>
      <c r="K38" s="80">
        <v>0</v>
      </c>
    </row>
    <row r="39" spans="1:11" x14ac:dyDescent="0.2">
      <c r="F39" s="3">
        <f>SUM(F4:F38)</f>
        <v>129</v>
      </c>
      <c r="G39" s="3">
        <f>SUM(G4:G38)</f>
        <v>5</v>
      </c>
      <c r="H39" s="88">
        <f t="shared" si="0"/>
        <v>3.875968992248062E-2</v>
      </c>
      <c r="I39" s="3">
        <f t="shared" ref="I39:K39" si="1">SUM(I4:I38)</f>
        <v>23</v>
      </c>
      <c r="J39" s="3">
        <f t="shared" si="1"/>
        <v>0</v>
      </c>
      <c r="K39" s="3">
        <f t="shared" si="1"/>
        <v>3</v>
      </c>
    </row>
  </sheetData>
  <sortState xmlns:xlrd2="http://schemas.microsoft.com/office/spreadsheetml/2017/richdata2" ref="A4:K38">
    <sortCondition ref="D4:D38"/>
  </sortState>
  <phoneticPr fontId="0" type="noConversion"/>
  <pageMargins left="0.75" right="0.75" top="1" bottom="1" header="0.5" footer="0.5"/>
  <pageSetup orientation="portrait" r:id="rId1"/>
  <headerFooter alignWithMargins="0"/>
  <ignoredErrors>
    <ignoredError sqref="H39" formula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52"/>
  <sheetViews>
    <sheetView workbookViewId="0">
      <pane ySplit="3" topLeftCell="A11" activePane="bottomLeft" state="frozen"/>
      <selection pane="bottomLeft" activeCell="G43" sqref="G43:G46"/>
    </sheetView>
  </sheetViews>
  <sheetFormatPr defaultRowHeight="12.75" x14ac:dyDescent="0.2"/>
  <cols>
    <col min="5" max="5" width="29.140625" bestFit="1" customWidth="1"/>
  </cols>
  <sheetData>
    <row r="1" spans="1:11" x14ac:dyDescent="0.2">
      <c r="A1" s="2"/>
      <c r="B1" s="2"/>
      <c r="C1" s="2" t="s">
        <v>25</v>
      </c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1" x14ac:dyDescent="0.2">
      <c r="A2" s="2" t="s">
        <v>0</v>
      </c>
      <c r="B2" s="2" t="s">
        <v>1</v>
      </c>
      <c r="C2" s="2" t="s">
        <v>26</v>
      </c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1" ht="13.5" thickBot="1" x14ac:dyDescent="0.25">
      <c r="A3" s="1"/>
      <c r="I3" s="1"/>
      <c r="J3" s="4" t="s">
        <v>6</v>
      </c>
      <c r="K3" s="4" t="s">
        <v>7</v>
      </c>
    </row>
    <row r="4" spans="1:11" x14ac:dyDescent="0.2">
      <c r="A4" s="5">
        <v>39354</v>
      </c>
      <c r="B4" s="6">
        <v>2</v>
      </c>
      <c r="C4" s="8" t="s">
        <v>27</v>
      </c>
      <c r="D4" s="8">
        <v>1</v>
      </c>
      <c r="E4" s="6" t="s">
        <v>9</v>
      </c>
      <c r="F4" s="6">
        <v>6</v>
      </c>
      <c r="G4" s="6">
        <v>0</v>
      </c>
      <c r="H4" s="86">
        <f>G4/F4</f>
        <v>0</v>
      </c>
      <c r="I4" s="6">
        <v>0</v>
      </c>
      <c r="J4" s="6">
        <v>0</v>
      </c>
      <c r="K4" s="6">
        <v>0</v>
      </c>
    </row>
    <row r="5" spans="1:11" x14ac:dyDescent="0.2">
      <c r="A5" s="5">
        <v>39332</v>
      </c>
      <c r="B5" s="6">
        <v>1</v>
      </c>
      <c r="C5" s="8" t="s">
        <v>78</v>
      </c>
      <c r="D5" s="8">
        <v>1</v>
      </c>
      <c r="E5" s="6" t="s">
        <v>79</v>
      </c>
      <c r="F5" s="6">
        <v>6</v>
      </c>
      <c r="G5" s="19">
        <v>0</v>
      </c>
      <c r="H5" s="86">
        <f t="shared" ref="H5:H47" si="0">G5/F5</f>
        <v>0</v>
      </c>
      <c r="I5" s="6">
        <v>0</v>
      </c>
      <c r="J5" s="6">
        <v>0</v>
      </c>
      <c r="K5" s="6">
        <v>0</v>
      </c>
    </row>
    <row r="6" spans="1:11" x14ac:dyDescent="0.2">
      <c r="A6" s="5">
        <v>39354</v>
      </c>
      <c r="B6" s="6">
        <v>2</v>
      </c>
      <c r="C6" s="8" t="s">
        <v>28</v>
      </c>
      <c r="D6" s="8">
        <v>2</v>
      </c>
      <c r="E6" s="6" t="s">
        <v>10</v>
      </c>
      <c r="F6" s="6">
        <v>3</v>
      </c>
      <c r="G6" s="19">
        <v>1</v>
      </c>
      <c r="H6" s="86">
        <f t="shared" si="0"/>
        <v>0.33333333333333331</v>
      </c>
      <c r="I6" s="6">
        <v>0</v>
      </c>
      <c r="J6" s="6">
        <v>0</v>
      </c>
      <c r="K6" s="6">
        <v>0</v>
      </c>
    </row>
    <row r="7" spans="1:11" x14ac:dyDescent="0.2">
      <c r="A7" s="5">
        <v>39354</v>
      </c>
      <c r="B7" s="6">
        <v>2</v>
      </c>
      <c r="C7" s="8" t="s">
        <v>29</v>
      </c>
      <c r="D7" s="8">
        <v>3</v>
      </c>
      <c r="E7" s="6" t="s">
        <v>11</v>
      </c>
      <c r="F7" s="6">
        <v>2</v>
      </c>
      <c r="G7" s="19">
        <v>0</v>
      </c>
      <c r="H7" s="86">
        <f t="shared" si="0"/>
        <v>0</v>
      </c>
      <c r="I7" s="6">
        <v>0</v>
      </c>
      <c r="J7" s="6">
        <v>0</v>
      </c>
      <c r="K7" s="6">
        <v>0</v>
      </c>
    </row>
    <row r="8" spans="1:11" x14ac:dyDescent="0.2">
      <c r="A8" s="5">
        <v>39332</v>
      </c>
      <c r="B8" s="6">
        <v>1</v>
      </c>
      <c r="C8" s="8" t="s">
        <v>77</v>
      </c>
      <c r="D8" s="52" t="s">
        <v>180</v>
      </c>
      <c r="E8" s="6" t="s">
        <v>76</v>
      </c>
      <c r="F8" s="6">
        <v>7</v>
      </c>
      <c r="G8" s="19">
        <v>1</v>
      </c>
      <c r="H8" s="86">
        <f t="shared" si="0"/>
        <v>0.14285714285714285</v>
      </c>
      <c r="I8" s="6">
        <v>1</v>
      </c>
      <c r="J8" s="6">
        <v>0</v>
      </c>
      <c r="K8" s="6">
        <v>0</v>
      </c>
    </row>
    <row r="9" spans="1:11" x14ac:dyDescent="0.2">
      <c r="A9" s="5">
        <v>39354</v>
      </c>
      <c r="B9" s="6">
        <v>2</v>
      </c>
      <c r="C9" s="8" t="s">
        <v>30</v>
      </c>
      <c r="D9" s="8">
        <v>4</v>
      </c>
      <c r="E9" s="6" t="s">
        <v>12</v>
      </c>
      <c r="F9" s="6">
        <v>5</v>
      </c>
      <c r="G9" s="19">
        <v>0</v>
      </c>
      <c r="H9" s="86">
        <f t="shared" si="0"/>
        <v>0</v>
      </c>
      <c r="I9" s="6">
        <v>0</v>
      </c>
      <c r="J9" s="6">
        <v>0</v>
      </c>
      <c r="K9" s="6">
        <v>0</v>
      </c>
    </row>
    <row r="10" spans="1:11" x14ac:dyDescent="0.2">
      <c r="A10" s="5">
        <v>39354</v>
      </c>
      <c r="B10" s="6">
        <v>2</v>
      </c>
      <c r="C10" s="8" t="s">
        <v>31</v>
      </c>
      <c r="D10" s="8">
        <v>5</v>
      </c>
      <c r="E10" s="6" t="s">
        <v>13</v>
      </c>
      <c r="F10" s="6">
        <v>2</v>
      </c>
      <c r="G10" s="19">
        <v>0</v>
      </c>
      <c r="H10" s="86">
        <f t="shared" si="0"/>
        <v>0</v>
      </c>
      <c r="I10" s="6">
        <v>0</v>
      </c>
      <c r="J10" s="6">
        <v>0</v>
      </c>
      <c r="K10" s="6">
        <v>0</v>
      </c>
    </row>
    <row r="11" spans="1:11" x14ac:dyDescent="0.2">
      <c r="A11" s="5">
        <v>39332</v>
      </c>
      <c r="B11" s="6">
        <v>1</v>
      </c>
      <c r="C11" s="8" t="s">
        <v>74</v>
      </c>
      <c r="D11" s="75" t="s">
        <v>177</v>
      </c>
      <c r="E11" s="6" t="s">
        <v>75</v>
      </c>
      <c r="F11" s="6">
        <v>4</v>
      </c>
      <c r="G11" s="6">
        <v>0</v>
      </c>
      <c r="H11" s="86">
        <f t="shared" si="0"/>
        <v>0</v>
      </c>
      <c r="I11" s="6">
        <v>0</v>
      </c>
      <c r="J11" s="6">
        <v>0</v>
      </c>
      <c r="K11" s="6">
        <v>0</v>
      </c>
    </row>
    <row r="12" spans="1:11" x14ac:dyDescent="0.2">
      <c r="A12" s="5">
        <v>39354</v>
      </c>
      <c r="B12" s="6">
        <v>2</v>
      </c>
      <c r="C12" s="8" t="s">
        <v>32</v>
      </c>
      <c r="D12" s="8">
        <v>6</v>
      </c>
      <c r="E12" s="6" t="s">
        <v>14</v>
      </c>
      <c r="F12" s="6">
        <v>4</v>
      </c>
      <c r="G12" s="6">
        <v>0</v>
      </c>
      <c r="H12" s="86">
        <f t="shared" si="0"/>
        <v>0</v>
      </c>
      <c r="I12" s="6">
        <v>0</v>
      </c>
      <c r="J12" s="6">
        <v>0</v>
      </c>
      <c r="K12" s="6">
        <v>0</v>
      </c>
    </row>
    <row r="13" spans="1:11" x14ac:dyDescent="0.2">
      <c r="A13" s="5">
        <v>39332</v>
      </c>
      <c r="B13" s="6">
        <v>1</v>
      </c>
      <c r="C13" s="8" t="s">
        <v>33</v>
      </c>
      <c r="D13" s="8">
        <v>7</v>
      </c>
      <c r="E13" s="6" t="s">
        <v>15</v>
      </c>
      <c r="F13" s="6">
        <v>3</v>
      </c>
      <c r="G13" s="6">
        <v>0</v>
      </c>
      <c r="H13" s="86">
        <f t="shared" si="0"/>
        <v>0</v>
      </c>
      <c r="I13" s="6">
        <v>0</v>
      </c>
      <c r="J13" s="6">
        <v>0</v>
      </c>
      <c r="K13" s="6">
        <v>0</v>
      </c>
    </row>
    <row r="14" spans="1:11" x14ac:dyDescent="0.2">
      <c r="A14" s="5">
        <v>39354</v>
      </c>
      <c r="B14" s="6">
        <v>2</v>
      </c>
      <c r="C14" s="8" t="s">
        <v>33</v>
      </c>
      <c r="D14" s="8">
        <v>7</v>
      </c>
      <c r="E14" s="6" t="s">
        <v>15</v>
      </c>
      <c r="F14" s="6">
        <v>3</v>
      </c>
      <c r="G14" s="6">
        <v>0</v>
      </c>
      <c r="H14" s="86">
        <f t="shared" si="0"/>
        <v>0</v>
      </c>
      <c r="I14" s="6">
        <v>0</v>
      </c>
      <c r="J14" s="6">
        <v>0</v>
      </c>
      <c r="K14" s="6">
        <v>0</v>
      </c>
    </row>
    <row r="15" spans="1:11" x14ac:dyDescent="0.2">
      <c r="A15" s="5">
        <v>39332</v>
      </c>
      <c r="B15" s="6">
        <v>1</v>
      </c>
      <c r="C15" s="8" t="s">
        <v>34</v>
      </c>
      <c r="D15" s="8">
        <v>8</v>
      </c>
      <c r="E15" s="6" t="s">
        <v>16</v>
      </c>
      <c r="F15" s="6">
        <v>3</v>
      </c>
      <c r="G15" s="19">
        <v>1</v>
      </c>
      <c r="H15" s="86">
        <f t="shared" si="0"/>
        <v>0.33333333333333331</v>
      </c>
      <c r="I15" s="6">
        <v>2</v>
      </c>
      <c r="J15" s="6">
        <v>0</v>
      </c>
      <c r="K15" s="6">
        <v>0</v>
      </c>
    </row>
    <row r="16" spans="1:11" x14ac:dyDescent="0.2">
      <c r="A16" s="5">
        <v>39340</v>
      </c>
      <c r="B16" s="6">
        <v>2</v>
      </c>
      <c r="C16" s="8" t="s">
        <v>34</v>
      </c>
      <c r="D16" s="8">
        <v>8</v>
      </c>
      <c r="E16" s="6" t="s">
        <v>16</v>
      </c>
      <c r="F16" s="6">
        <v>3</v>
      </c>
      <c r="G16" s="19">
        <v>3</v>
      </c>
      <c r="H16" s="86">
        <f t="shared" si="0"/>
        <v>1</v>
      </c>
      <c r="I16" s="6">
        <v>5</v>
      </c>
      <c r="J16" s="6">
        <v>0</v>
      </c>
      <c r="K16" s="6">
        <v>0</v>
      </c>
    </row>
    <row r="17" spans="1:11" x14ac:dyDescent="0.2">
      <c r="A17" s="5">
        <v>39346</v>
      </c>
      <c r="B17" s="6">
        <v>3</v>
      </c>
      <c r="C17" s="8" t="s">
        <v>34</v>
      </c>
      <c r="D17" s="8">
        <v>8</v>
      </c>
      <c r="E17" s="6" t="s">
        <v>16</v>
      </c>
      <c r="F17" s="6">
        <v>3</v>
      </c>
      <c r="G17" s="19">
        <v>2</v>
      </c>
      <c r="H17" s="86">
        <f t="shared" si="0"/>
        <v>0.66666666666666663</v>
      </c>
      <c r="I17" s="6">
        <v>7</v>
      </c>
      <c r="J17" s="6">
        <v>0</v>
      </c>
      <c r="K17" s="6">
        <v>1</v>
      </c>
    </row>
    <row r="18" spans="1:11" x14ac:dyDescent="0.2">
      <c r="A18" s="5">
        <v>39348</v>
      </c>
      <c r="B18" s="6">
        <v>4</v>
      </c>
      <c r="C18" s="8" t="s">
        <v>34</v>
      </c>
      <c r="D18" s="8">
        <v>8</v>
      </c>
      <c r="E18" s="6" t="s">
        <v>16</v>
      </c>
      <c r="F18" s="6">
        <v>3</v>
      </c>
      <c r="G18" s="19">
        <v>3</v>
      </c>
      <c r="H18" s="86">
        <f t="shared" si="0"/>
        <v>1</v>
      </c>
      <c r="I18" s="6">
        <v>2</v>
      </c>
      <c r="J18" s="6">
        <v>0</v>
      </c>
      <c r="K18" s="6">
        <v>1</v>
      </c>
    </row>
    <row r="19" spans="1:11" x14ac:dyDescent="0.2">
      <c r="A19" s="5">
        <v>39351</v>
      </c>
      <c r="B19" s="6">
        <v>5</v>
      </c>
      <c r="C19" s="8" t="s">
        <v>34</v>
      </c>
      <c r="D19" s="8">
        <v>8</v>
      </c>
      <c r="E19" s="6" t="s">
        <v>16</v>
      </c>
      <c r="F19" s="6">
        <v>3</v>
      </c>
      <c r="G19" s="6">
        <v>0</v>
      </c>
      <c r="H19" s="86">
        <f t="shared" si="0"/>
        <v>0</v>
      </c>
      <c r="I19" s="6">
        <v>0</v>
      </c>
      <c r="J19" s="6">
        <v>0</v>
      </c>
      <c r="K19" s="6">
        <v>0</v>
      </c>
    </row>
    <row r="20" spans="1:11" x14ac:dyDescent="0.2">
      <c r="A20" s="5">
        <v>39359</v>
      </c>
      <c r="B20" s="6">
        <v>6</v>
      </c>
      <c r="C20" s="8" t="s">
        <v>34</v>
      </c>
      <c r="D20" s="8">
        <v>8</v>
      </c>
      <c r="E20" s="6" t="s">
        <v>16</v>
      </c>
      <c r="F20" s="6">
        <v>3</v>
      </c>
      <c r="G20" s="6">
        <v>0</v>
      </c>
      <c r="H20" s="86">
        <f t="shared" si="0"/>
        <v>0</v>
      </c>
      <c r="I20" s="6">
        <v>0</v>
      </c>
      <c r="J20" s="6">
        <v>0</v>
      </c>
      <c r="K20" s="6">
        <v>1</v>
      </c>
    </row>
    <row r="21" spans="1:11" x14ac:dyDescent="0.2">
      <c r="A21" s="5">
        <v>39332</v>
      </c>
      <c r="B21" s="6">
        <v>1</v>
      </c>
      <c r="C21" s="8" t="s">
        <v>35</v>
      </c>
      <c r="D21" s="8">
        <v>9</v>
      </c>
      <c r="E21" s="6" t="s">
        <v>17</v>
      </c>
      <c r="F21" s="6">
        <v>4</v>
      </c>
      <c r="G21" s="6">
        <v>1</v>
      </c>
      <c r="H21" s="86">
        <f t="shared" si="0"/>
        <v>0.25</v>
      </c>
      <c r="I21" s="6">
        <v>5</v>
      </c>
      <c r="J21" s="6">
        <v>0</v>
      </c>
      <c r="K21" s="6">
        <v>0</v>
      </c>
    </row>
    <row r="22" spans="1:11" x14ac:dyDescent="0.2">
      <c r="A22" s="5">
        <v>39340</v>
      </c>
      <c r="B22" s="6">
        <v>2</v>
      </c>
      <c r="C22" s="8" t="s">
        <v>35</v>
      </c>
      <c r="D22" s="8">
        <v>9</v>
      </c>
      <c r="E22" s="6" t="s">
        <v>17</v>
      </c>
      <c r="F22" s="6">
        <v>4</v>
      </c>
      <c r="G22" s="6">
        <v>3</v>
      </c>
      <c r="H22" s="86">
        <f t="shared" si="0"/>
        <v>0.75</v>
      </c>
      <c r="I22" s="6">
        <v>13</v>
      </c>
      <c r="J22" s="6">
        <v>0</v>
      </c>
      <c r="K22" s="6">
        <v>0</v>
      </c>
    </row>
    <row r="23" spans="1:11" x14ac:dyDescent="0.2">
      <c r="A23" s="5">
        <v>39346</v>
      </c>
      <c r="B23" s="6">
        <v>3</v>
      </c>
      <c r="C23" s="8" t="s">
        <v>35</v>
      </c>
      <c r="D23" s="8">
        <v>9</v>
      </c>
      <c r="E23" s="6" t="s">
        <v>17</v>
      </c>
      <c r="F23" s="6">
        <v>4</v>
      </c>
      <c r="G23" s="6">
        <v>2</v>
      </c>
      <c r="H23" s="86">
        <f t="shared" si="0"/>
        <v>0.5</v>
      </c>
      <c r="I23" s="6">
        <v>5</v>
      </c>
      <c r="J23" s="6">
        <v>0</v>
      </c>
      <c r="K23" s="6">
        <v>1</v>
      </c>
    </row>
    <row r="24" spans="1:11" x14ac:dyDescent="0.2">
      <c r="A24" s="5">
        <v>39348</v>
      </c>
      <c r="B24" s="6">
        <v>4</v>
      </c>
      <c r="C24" s="8" t="s">
        <v>35</v>
      </c>
      <c r="D24" s="8">
        <v>9</v>
      </c>
      <c r="E24" s="6" t="s">
        <v>17</v>
      </c>
      <c r="F24" s="6">
        <v>4</v>
      </c>
      <c r="G24" s="6">
        <v>0</v>
      </c>
      <c r="H24" s="86">
        <f t="shared" si="0"/>
        <v>0</v>
      </c>
      <c r="I24" s="6">
        <v>2</v>
      </c>
      <c r="J24" s="6">
        <v>0</v>
      </c>
      <c r="K24" s="6">
        <v>1</v>
      </c>
    </row>
    <row r="25" spans="1:11" x14ac:dyDescent="0.2">
      <c r="A25" s="5">
        <v>39351</v>
      </c>
      <c r="B25" s="6">
        <v>5</v>
      </c>
      <c r="C25" s="8" t="s">
        <v>35</v>
      </c>
      <c r="D25" s="8">
        <v>9</v>
      </c>
      <c r="E25" s="6" t="s">
        <v>17</v>
      </c>
      <c r="F25" s="6">
        <v>4</v>
      </c>
      <c r="G25" s="6">
        <v>0</v>
      </c>
      <c r="H25" s="86">
        <f t="shared" si="0"/>
        <v>0</v>
      </c>
      <c r="I25" s="6">
        <v>0</v>
      </c>
      <c r="J25" s="6">
        <v>0</v>
      </c>
      <c r="K25" s="6">
        <v>0</v>
      </c>
    </row>
    <row r="26" spans="1:11" x14ac:dyDescent="0.2">
      <c r="A26" s="5">
        <v>39359</v>
      </c>
      <c r="B26" s="6">
        <v>6</v>
      </c>
      <c r="C26" s="8" t="s">
        <v>35</v>
      </c>
      <c r="D26" s="8">
        <v>9</v>
      </c>
      <c r="E26" s="6" t="s">
        <v>17</v>
      </c>
      <c r="F26" s="6">
        <v>4</v>
      </c>
      <c r="G26" s="6">
        <v>0</v>
      </c>
      <c r="H26" s="86">
        <f t="shared" si="0"/>
        <v>0</v>
      </c>
      <c r="I26" s="6">
        <v>0</v>
      </c>
      <c r="J26" s="6">
        <v>0</v>
      </c>
      <c r="K26" s="6">
        <v>0</v>
      </c>
    </row>
    <row r="27" spans="1:11" x14ac:dyDescent="0.2">
      <c r="A27" s="5">
        <v>39332</v>
      </c>
      <c r="B27" s="6">
        <v>1</v>
      </c>
      <c r="C27" s="8" t="s">
        <v>36</v>
      </c>
      <c r="D27" s="8">
        <v>10</v>
      </c>
      <c r="E27" s="6" t="s">
        <v>18</v>
      </c>
      <c r="F27" s="6">
        <v>5</v>
      </c>
      <c r="G27" s="6">
        <v>0</v>
      </c>
      <c r="H27" s="86">
        <f t="shared" si="0"/>
        <v>0</v>
      </c>
      <c r="I27" s="6">
        <v>1</v>
      </c>
      <c r="J27" s="6">
        <v>0</v>
      </c>
      <c r="K27" s="6">
        <v>0</v>
      </c>
    </row>
    <row r="28" spans="1:11" x14ac:dyDescent="0.2">
      <c r="A28" s="5">
        <v>39340</v>
      </c>
      <c r="B28" s="6">
        <v>2</v>
      </c>
      <c r="C28" s="8" t="s">
        <v>36</v>
      </c>
      <c r="D28" s="8">
        <v>10</v>
      </c>
      <c r="E28" s="6" t="s">
        <v>18</v>
      </c>
      <c r="F28" s="6">
        <v>5</v>
      </c>
      <c r="G28" s="6">
        <v>4</v>
      </c>
      <c r="H28" s="86">
        <f t="shared" si="0"/>
        <v>0.8</v>
      </c>
      <c r="I28" s="6">
        <v>4</v>
      </c>
      <c r="J28" s="6">
        <v>0</v>
      </c>
      <c r="K28" s="6">
        <v>0</v>
      </c>
    </row>
    <row r="29" spans="1:11" x14ac:dyDescent="0.2">
      <c r="A29" s="5">
        <v>39346</v>
      </c>
      <c r="B29" s="6">
        <v>3</v>
      </c>
      <c r="C29" s="8" t="s">
        <v>36</v>
      </c>
      <c r="D29" s="8">
        <v>10</v>
      </c>
      <c r="E29" s="6" t="s">
        <v>18</v>
      </c>
      <c r="F29" s="6">
        <v>5</v>
      </c>
      <c r="G29" s="6">
        <v>1</v>
      </c>
      <c r="H29" s="86">
        <f t="shared" si="0"/>
        <v>0.2</v>
      </c>
      <c r="I29" s="6">
        <v>7</v>
      </c>
      <c r="J29" s="6">
        <v>0</v>
      </c>
      <c r="K29" s="6">
        <v>0</v>
      </c>
    </row>
    <row r="30" spans="1:11" x14ac:dyDescent="0.2">
      <c r="A30" s="5">
        <v>39351</v>
      </c>
      <c r="B30" s="6">
        <v>4</v>
      </c>
      <c r="C30" s="8" t="s">
        <v>36</v>
      </c>
      <c r="D30" s="8">
        <v>10</v>
      </c>
      <c r="E30" s="6" t="s">
        <v>18</v>
      </c>
      <c r="F30" s="6">
        <v>5</v>
      </c>
      <c r="G30" s="6">
        <v>2</v>
      </c>
      <c r="H30" s="86">
        <f t="shared" si="0"/>
        <v>0.4</v>
      </c>
      <c r="I30" s="6">
        <v>0</v>
      </c>
      <c r="J30" s="6">
        <v>0</v>
      </c>
      <c r="K30" s="6">
        <v>1</v>
      </c>
    </row>
    <row r="31" spans="1:11" x14ac:dyDescent="0.2">
      <c r="A31" s="5">
        <v>39353</v>
      </c>
      <c r="B31" s="6">
        <v>5</v>
      </c>
      <c r="C31" s="8" t="s">
        <v>36</v>
      </c>
      <c r="D31" s="8">
        <v>10</v>
      </c>
      <c r="E31" s="6" t="s">
        <v>18</v>
      </c>
      <c r="F31" s="6">
        <v>5</v>
      </c>
      <c r="G31" s="6">
        <v>0</v>
      </c>
      <c r="H31" s="86">
        <f t="shared" si="0"/>
        <v>0</v>
      </c>
      <c r="I31" s="6">
        <v>0</v>
      </c>
      <c r="J31" s="6">
        <v>0</v>
      </c>
      <c r="K31" s="6">
        <v>1</v>
      </c>
    </row>
    <row r="32" spans="1:11" x14ac:dyDescent="0.2">
      <c r="A32" s="5">
        <v>39359</v>
      </c>
      <c r="B32" s="6">
        <v>6</v>
      </c>
      <c r="C32" s="8" t="s">
        <v>36</v>
      </c>
      <c r="D32" s="8">
        <v>10</v>
      </c>
      <c r="E32" s="6" t="s">
        <v>18</v>
      </c>
      <c r="F32" s="6">
        <v>5</v>
      </c>
      <c r="G32" s="6">
        <v>0</v>
      </c>
      <c r="H32" s="86">
        <f t="shared" si="0"/>
        <v>0</v>
      </c>
      <c r="I32" s="6">
        <v>0</v>
      </c>
      <c r="J32" s="6">
        <v>0</v>
      </c>
      <c r="K32" s="6">
        <v>0</v>
      </c>
    </row>
    <row r="33" spans="1:11" x14ac:dyDescent="0.2">
      <c r="A33" s="5">
        <v>39340</v>
      </c>
      <c r="B33" s="6">
        <v>2</v>
      </c>
      <c r="C33" s="8" t="s">
        <v>37</v>
      </c>
      <c r="D33" s="8">
        <v>11</v>
      </c>
      <c r="E33" s="6" t="s">
        <v>19</v>
      </c>
      <c r="F33" s="6">
        <v>4</v>
      </c>
      <c r="G33" s="6">
        <v>6</v>
      </c>
      <c r="H33" s="86">
        <f t="shared" si="0"/>
        <v>1.5</v>
      </c>
      <c r="I33" s="6">
        <v>4</v>
      </c>
      <c r="J33" s="6">
        <v>0</v>
      </c>
      <c r="K33" s="6">
        <v>0</v>
      </c>
    </row>
    <row r="34" spans="1:11" x14ac:dyDescent="0.2">
      <c r="A34" s="5">
        <v>39346</v>
      </c>
      <c r="B34" s="6">
        <v>3</v>
      </c>
      <c r="C34" s="8" t="s">
        <v>37</v>
      </c>
      <c r="D34" s="8">
        <v>11</v>
      </c>
      <c r="E34" s="6" t="s">
        <v>19</v>
      </c>
      <c r="F34" s="6">
        <v>4</v>
      </c>
      <c r="G34" s="6">
        <v>1</v>
      </c>
      <c r="H34" s="86">
        <f t="shared" si="0"/>
        <v>0.25</v>
      </c>
      <c r="I34" s="6">
        <v>3</v>
      </c>
      <c r="J34" s="6">
        <v>0</v>
      </c>
      <c r="K34" s="6">
        <v>4</v>
      </c>
    </row>
    <row r="35" spans="1:11" x14ac:dyDescent="0.2">
      <c r="A35" s="5">
        <v>39351</v>
      </c>
      <c r="B35" s="6">
        <v>4</v>
      </c>
      <c r="C35" s="8" t="s">
        <v>37</v>
      </c>
      <c r="D35" s="8">
        <v>11</v>
      </c>
      <c r="E35" s="6" t="s">
        <v>19</v>
      </c>
      <c r="F35" s="6">
        <v>4</v>
      </c>
      <c r="G35" s="6">
        <v>3</v>
      </c>
      <c r="H35" s="86">
        <f t="shared" si="0"/>
        <v>0.75</v>
      </c>
      <c r="I35" s="6">
        <v>2</v>
      </c>
      <c r="J35" s="6">
        <v>0</v>
      </c>
      <c r="K35" s="6">
        <v>0</v>
      </c>
    </row>
    <row r="36" spans="1:11" x14ac:dyDescent="0.2">
      <c r="A36" s="5">
        <v>39353</v>
      </c>
      <c r="B36" s="6">
        <v>5</v>
      </c>
      <c r="C36" s="8" t="s">
        <v>37</v>
      </c>
      <c r="D36" s="8">
        <v>11</v>
      </c>
      <c r="E36" s="6" t="s">
        <v>19</v>
      </c>
      <c r="F36" s="6">
        <v>4</v>
      </c>
      <c r="G36" s="6">
        <v>0</v>
      </c>
      <c r="H36" s="86">
        <f t="shared" si="0"/>
        <v>0</v>
      </c>
      <c r="I36" s="6">
        <v>0</v>
      </c>
      <c r="J36" s="6">
        <v>0</v>
      </c>
      <c r="K36" s="6">
        <v>2</v>
      </c>
    </row>
    <row r="37" spans="1:11" x14ac:dyDescent="0.2">
      <c r="A37" s="5">
        <v>39359</v>
      </c>
      <c r="B37" s="6">
        <v>6</v>
      </c>
      <c r="C37" s="8" t="s">
        <v>37</v>
      </c>
      <c r="D37" s="8">
        <v>11</v>
      </c>
      <c r="E37" s="6" t="s">
        <v>19</v>
      </c>
      <c r="F37" s="6">
        <v>4</v>
      </c>
      <c r="G37" s="6">
        <v>0</v>
      </c>
      <c r="H37" s="86">
        <f t="shared" si="0"/>
        <v>0</v>
      </c>
      <c r="I37" s="6">
        <v>0</v>
      </c>
      <c r="J37" s="6">
        <v>0</v>
      </c>
      <c r="K37" s="6">
        <v>0</v>
      </c>
    </row>
    <row r="38" spans="1:11" x14ac:dyDescent="0.2">
      <c r="A38" s="5">
        <v>39340</v>
      </c>
      <c r="B38" s="6">
        <v>1</v>
      </c>
      <c r="C38" s="8" t="s">
        <v>38</v>
      </c>
      <c r="D38" s="8">
        <v>12</v>
      </c>
      <c r="E38" s="6" t="s">
        <v>20</v>
      </c>
      <c r="F38" s="6">
        <v>3</v>
      </c>
      <c r="G38" s="6">
        <v>2</v>
      </c>
      <c r="H38" s="86">
        <f t="shared" si="0"/>
        <v>0.66666666666666663</v>
      </c>
      <c r="I38" s="6">
        <v>3</v>
      </c>
      <c r="J38" s="6">
        <v>0</v>
      </c>
      <c r="K38" s="6">
        <v>0</v>
      </c>
    </row>
    <row r="39" spans="1:11" x14ac:dyDescent="0.2">
      <c r="A39" s="5">
        <v>39346</v>
      </c>
      <c r="B39" s="6">
        <v>2</v>
      </c>
      <c r="C39" s="8" t="s">
        <v>38</v>
      </c>
      <c r="D39" s="8">
        <v>12</v>
      </c>
      <c r="E39" s="6" t="s">
        <v>20</v>
      </c>
      <c r="F39" s="6">
        <v>3</v>
      </c>
      <c r="G39" s="6">
        <v>2</v>
      </c>
      <c r="H39" s="86">
        <f t="shared" si="0"/>
        <v>0.66666666666666663</v>
      </c>
      <c r="I39" s="6">
        <v>5</v>
      </c>
      <c r="J39" s="6">
        <v>0</v>
      </c>
      <c r="K39" s="6">
        <v>1</v>
      </c>
    </row>
    <row r="40" spans="1:11" x14ac:dyDescent="0.2">
      <c r="A40" s="5">
        <v>39351</v>
      </c>
      <c r="B40" s="6">
        <v>4</v>
      </c>
      <c r="C40" s="8" t="s">
        <v>38</v>
      </c>
      <c r="D40" s="8">
        <v>12</v>
      </c>
      <c r="E40" s="6" t="s">
        <v>20</v>
      </c>
      <c r="F40" s="6">
        <v>3</v>
      </c>
      <c r="G40" s="6">
        <v>1</v>
      </c>
      <c r="H40" s="86">
        <f t="shared" si="0"/>
        <v>0.33333333333333331</v>
      </c>
      <c r="I40" s="6">
        <v>0</v>
      </c>
      <c r="J40" s="6">
        <v>0</v>
      </c>
      <c r="K40" s="6">
        <v>0</v>
      </c>
    </row>
    <row r="41" spans="1:11" x14ac:dyDescent="0.2">
      <c r="A41" s="5">
        <v>39353</v>
      </c>
      <c r="B41" s="6">
        <v>5</v>
      </c>
      <c r="C41" s="8" t="s">
        <v>38</v>
      </c>
      <c r="D41" s="8">
        <v>12</v>
      </c>
      <c r="E41" s="6" t="s">
        <v>20</v>
      </c>
      <c r="F41" s="6">
        <v>3</v>
      </c>
      <c r="G41" s="6">
        <v>0</v>
      </c>
      <c r="H41" s="86">
        <f t="shared" si="0"/>
        <v>0</v>
      </c>
      <c r="I41" s="6">
        <v>0</v>
      </c>
      <c r="J41" s="6">
        <v>0</v>
      </c>
      <c r="K41" s="6">
        <v>0</v>
      </c>
    </row>
    <row r="42" spans="1:11" x14ac:dyDescent="0.2">
      <c r="A42" s="5">
        <v>39359</v>
      </c>
      <c r="B42" s="6">
        <v>6</v>
      </c>
      <c r="C42" s="8" t="s">
        <v>38</v>
      </c>
      <c r="D42" s="8">
        <v>12</v>
      </c>
      <c r="E42" s="6" t="s">
        <v>20</v>
      </c>
      <c r="F42" s="6">
        <v>3</v>
      </c>
      <c r="G42" s="6">
        <v>0</v>
      </c>
      <c r="H42" s="86">
        <f t="shared" si="0"/>
        <v>0</v>
      </c>
      <c r="I42" s="6">
        <v>0</v>
      </c>
      <c r="J42" s="6">
        <v>0</v>
      </c>
      <c r="K42" s="6">
        <v>0</v>
      </c>
    </row>
    <row r="43" spans="1:11" x14ac:dyDescent="0.2">
      <c r="A43" s="5">
        <v>39340</v>
      </c>
      <c r="B43" s="6">
        <v>1</v>
      </c>
      <c r="C43" s="8" t="s">
        <v>81</v>
      </c>
      <c r="D43" s="8" t="s">
        <v>179</v>
      </c>
      <c r="E43" s="6" t="s">
        <v>178</v>
      </c>
      <c r="F43" s="6">
        <v>12</v>
      </c>
      <c r="G43" s="6">
        <v>2</v>
      </c>
      <c r="H43" s="86">
        <f t="shared" si="0"/>
        <v>0.16666666666666666</v>
      </c>
      <c r="I43" s="6">
        <v>8</v>
      </c>
      <c r="J43" s="6">
        <v>0</v>
      </c>
      <c r="K43" s="6">
        <v>0</v>
      </c>
    </row>
    <row r="44" spans="1:11" x14ac:dyDescent="0.2">
      <c r="A44" s="5">
        <v>39346</v>
      </c>
      <c r="B44" s="6">
        <v>2</v>
      </c>
      <c r="C44" s="8" t="s">
        <v>81</v>
      </c>
      <c r="D44" s="8" t="s">
        <v>179</v>
      </c>
      <c r="E44" s="6" t="s">
        <v>178</v>
      </c>
      <c r="F44" s="6">
        <v>12</v>
      </c>
      <c r="G44" s="6">
        <v>1</v>
      </c>
      <c r="H44" s="86">
        <f t="shared" si="0"/>
        <v>8.3333333333333329E-2</v>
      </c>
      <c r="I44" s="6">
        <v>3</v>
      </c>
      <c r="J44" s="6">
        <v>0</v>
      </c>
      <c r="K44" s="6">
        <v>0</v>
      </c>
    </row>
    <row r="45" spans="1:11" x14ac:dyDescent="0.2">
      <c r="A45" s="5">
        <v>39353</v>
      </c>
      <c r="B45" s="6">
        <v>5</v>
      </c>
      <c r="C45" s="8" t="s">
        <v>81</v>
      </c>
      <c r="D45" s="8" t="s">
        <v>179</v>
      </c>
      <c r="E45" s="6" t="s">
        <v>178</v>
      </c>
      <c r="F45" s="6">
        <v>12</v>
      </c>
      <c r="G45" s="6">
        <v>0</v>
      </c>
      <c r="H45" s="86">
        <f t="shared" si="0"/>
        <v>0</v>
      </c>
      <c r="I45" s="6">
        <v>0</v>
      </c>
      <c r="J45" s="6">
        <v>0</v>
      </c>
      <c r="K45" s="6">
        <v>6</v>
      </c>
    </row>
    <row r="46" spans="1:11" ht="13.5" thickBot="1" x14ac:dyDescent="0.25">
      <c r="A46" s="5">
        <v>39359</v>
      </c>
      <c r="B46" s="6">
        <v>6</v>
      </c>
      <c r="C46" s="8" t="s">
        <v>81</v>
      </c>
      <c r="D46" s="8" t="s">
        <v>179</v>
      </c>
      <c r="E46" s="6" t="s">
        <v>178</v>
      </c>
      <c r="F46" s="80">
        <v>12</v>
      </c>
      <c r="G46" s="80">
        <v>2</v>
      </c>
      <c r="H46" s="87">
        <f t="shared" si="0"/>
        <v>0.16666666666666666</v>
      </c>
      <c r="I46" s="80">
        <v>2</v>
      </c>
      <c r="J46" s="80">
        <v>0</v>
      </c>
      <c r="K46" s="80">
        <v>2</v>
      </c>
    </row>
    <row r="47" spans="1:11" x14ac:dyDescent="0.2">
      <c r="F47" s="3">
        <f>SUM(F4:F46)</f>
        <v>200</v>
      </c>
      <c r="G47" s="3">
        <f>SUM(G4:G46)</f>
        <v>44</v>
      </c>
      <c r="H47" s="88">
        <f t="shared" si="0"/>
        <v>0.22</v>
      </c>
      <c r="I47" s="3">
        <f t="shared" ref="I47:K47" si="1">SUM(I4:I46)</f>
        <v>84</v>
      </c>
      <c r="J47" s="3">
        <f t="shared" si="1"/>
        <v>0</v>
      </c>
      <c r="K47" s="3">
        <f t="shared" si="1"/>
        <v>22</v>
      </c>
    </row>
    <row r="52" spans="1:1" x14ac:dyDescent="0.2">
      <c r="A52" t="s">
        <v>82</v>
      </c>
    </row>
  </sheetData>
  <sortState xmlns:xlrd2="http://schemas.microsoft.com/office/spreadsheetml/2017/richdata2" ref="A4:K46">
    <sortCondition ref="D4:D46"/>
  </sortState>
  <phoneticPr fontId="0" type="noConversion"/>
  <pageMargins left="0.75" right="0.75" top="1" bottom="1" header="0.5" footer="0.5"/>
  <pageSetup orientation="portrait" r:id="rId1"/>
  <headerFooter alignWithMargins="0"/>
  <ignoredErrors>
    <ignoredError sqref="H47" formula="1"/>
  </ignoredErrors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81"/>
  <sheetViews>
    <sheetView workbookViewId="0">
      <pane ySplit="3" topLeftCell="A37" activePane="bottomLeft" state="frozen"/>
      <selection pane="bottomLeft" activeCell="G71" sqref="G71:G76"/>
    </sheetView>
  </sheetViews>
  <sheetFormatPr defaultRowHeight="12.75" x14ac:dyDescent="0.2"/>
  <cols>
    <col min="5" max="5" width="29.140625" bestFit="1" customWidth="1"/>
  </cols>
  <sheetData>
    <row r="1" spans="1:11" x14ac:dyDescent="0.2">
      <c r="A1" s="2"/>
      <c r="B1" s="2"/>
      <c r="C1" s="2" t="s">
        <v>25</v>
      </c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1" x14ac:dyDescent="0.2">
      <c r="A2" s="2" t="s">
        <v>0</v>
      </c>
      <c r="B2" s="2" t="s">
        <v>1</v>
      </c>
      <c r="C2" s="2" t="s">
        <v>26</v>
      </c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1" ht="13.5" thickBot="1" x14ac:dyDescent="0.25">
      <c r="A3" s="1"/>
      <c r="I3" s="1"/>
      <c r="J3" s="4" t="s">
        <v>6</v>
      </c>
      <c r="K3" s="4" t="s">
        <v>7</v>
      </c>
    </row>
    <row r="4" spans="1:11" x14ac:dyDescent="0.2">
      <c r="A4" s="5">
        <v>39312</v>
      </c>
      <c r="B4" s="6">
        <v>1</v>
      </c>
      <c r="C4" s="8" t="s">
        <v>27</v>
      </c>
      <c r="D4" s="8">
        <v>1</v>
      </c>
      <c r="E4" s="6" t="s">
        <v>9</v>
      </c>
      <c r="F4" s="6">
        <v>6</v>
      </c>
      <c r="G4" s="19">
        <v>1</v>
      </c>
      <c r="H4" s="86">
        <f>G4/F4</f>
        <v>0.16666666666666666</v>
      </c>
      <c r="I4" s="6">
        <v>1</v>
      </c>
      <c r="J4" s="6">
        <v>0</v>
      </c>
      <c r="K4" s="6">
        <v>0</v>
      </c>
    </row>
    <row r="5" spans="1:11" x14ac:dyDescent="0.2">
      <c r="A5" s="5">
        <v>39319</v>
      </c>
      <c r="B5" s="6">
        <v>2</v>
      </c>
      <c r="C5" s="8" t="s">
        <v>27</v>
      </c>
      <c r="D5" s="8">
        <v>1</v>
      </c>
      <c r="E5" s="6" t="s">
        <v>9</v>
      </c>
      <c r="F5" s="6">
        <v>6</v>
      </c>
      <c r="G5" s="19">
        <v>3</v>
      </c>
      <c r="H5" s="86">
        <f t="shared" ref="H5:H68" si="0">G5/F5</f>
        <v>0.5</v>
      </c>
      <c r="I5" s="6">
        <v>5</v>
      </c>
      <c r="J5" s="6">
        <v>0</v>
      </c>
      <c r="K5" s="6">
        <v>0</v>
      </c>
    </row>
    <row r="6" spans="1:11" x14ac:dyDescent="0.2">
      <c r="A6" s="5">
        <v>39326</v>
      </c>
      <c r="B6" s="6">
        <v>3</v>
      </c>
      <c r="C6" s="8" t="s">
        <v>27</v>
      </c>
      <c r="D6" s="8">
        <v>1</v>
      </c>
      <c r="E6" s="6" t="s">
        <v>9</v>
      </c>
      <c r="F6" s="6">
        <v>6</v>
      </c>
      <c r="G6" s="19">
        <v>4</v>
      </c>
      <c r="H6" s="86">
        <f t="shared" si="0"/>
        <v>0.66666666666666663</v>
      </c>
      <c r="I6" s="6">
        <v>11</v>
      </c>
      <c r="J6" s="6">
        <v>0</v>
      </c>
      <c r="K6" s="6">
        <v>1</v>
      </c>
    </row>
    <row r="7" spans="1:11" x14ac:dyDescent="0.2">
      <c r="A7" s="5">
        <v>39333</v>
      </c>
      <c r="B7" s="6">
        <v>4</v>
      </c>
      <c r="C7" s="8" t="s">
        <v>27</v>
      </c>
      <c r="D7" s="8">
        <v>1</v>
      </c>
      <c r="E7" s="6" t="s">
        <v>9</v>
      </c>
      <c r="F7" s="6">
        <v>6</v>
      </c>
      <c r="G7" s="19">
        <v>4</v>
      </c>
      <c r="H7" s="86">
        <f t="shared" si="0"/>
        <v>0.66666666666666663</v>
      </c>
      <c r="I7" s="6">
        <v>10</v>
      </c>
      <c r="J7" s="6">
        <v>0</v>
      </c>
      <c r="K7" s="6">
        <v>0</v>
      </c>
    </row>
    <row r="8" spans="1:11" x14ac:dyDescent="0.2">
      <c r="A8" s="5">
        <v>39340</v>
      </c>
      <c r="B8" s="6">
        <v>5</v>
      </c>
      <c r="C8" s="8" t="s">
        <v>27</v>
      </c>
      <c r="D8" s="8">
        <v>1</v>
      </c>
      <c r="E8" s="6" t="s">
        <v>9</v>
      </c>
      <c r="F8" s="6">
        <v>6</v>
      </c>
      <c r="G8" s="19">
        <v>1</v>
      </c>
      <c r="H8" s="86">
        <f t="shared" si="0"/>
        <v>0.16666666666666666</v>
      </c>
      <c r="I8" s="6">
        <v>3</v>
      </c>
      <c r="J8" s="6">
        <v>0</v>
      </c>
      <c r="K8" s="6">
        <v>2</v>
      </c>
    </row>
    <row r="9" spans="1:11" x14ac:dyDescent="0.2">
      <c r="A9" s="5">
        <v>39347</v>
      </c>
      <c r="B9" s="6">
        <v>6</v>
      </c>
      <c r="C9" s="8" t="s">
        <v>27</v>
      </c>
      <c r="D9" s="8">
        <v>1</v>
      </c>
      <c r="E9" s="6" t="s">
        <v>9</v>
      </c>
      <c r="F9" s="6">
        <v>6</v>
      </c>
      <c r="G9" s="19">
        <v>0</v>
      </c>
      <c r="H9" s="86">
        <f t="shared" si="0"/>
        <v>0</v>
      </c>
      <c r="I9" s="6">
        <v>0</v>
      </c>
      <c r="J9" s="6">
        <v>0</v>
      </c>
      <c r="K9" s="6">
        <v>0</v>
      </c>
    </row>
    <row r="10" spans="1:11" x14ac:dyDescent="0.2">
      <c r="A10" s="5">
        <v>39312</v>
      </c>
      <c r="B10" s="6">
        <v>1</v>
      </c>
      <c r="C10" s="8" t="s">
        <v>28</v>
      </c>
      <c r="D10" s="8">
        <v>2</v>
      </c>
      <c r="E10" s="6" t="s">
        <v>10</v>
      </c>
      <c r="F10" s="6">
        <v>3</v>
      </c>
      <c r="G10" s="19">
        <v>0</v>
      </c>
      <c r="H10" s="86">
        <f t="shared" si="0"/>
        <v>0</v>
      </c>
      <c r="I10" s="6">
        <v>0</v>
      </c>
      <c r="J10" s="6">
        <v>0</v>
      </c>
      <c r="K10" s="6">
        <v>0</v>
      </c>
    </row>
    <row r="11" spans="1:11" x14ac:dyDescent="0.2">
      <c r="A11" s="5">
        <v>39319</v>
      </c>
      <c r="B11" s="6">
        <v>2</v>
      </c>
      <c r="C11" s="8" t="s">
        <v>28</v>
      </c>
      <c r="D11" s="8">
        <v>2</v>
      </c>
      <c r="E11" s="6" t="s">
        <v>10</v>
      </c>
      <c r="F11" s="6">
        <v>3</v>
      </c>
      <c r="G11" s="19">
        <v>5</v>
      </c>
      <c r="H11" s="86">
        <f t="shared" si="0"/>
        <v>1.6666666666666667</v>
      </c>
      <c r="I11" s="6">
        <v>9</v>
      </c>
      <c r="J11" s="6">
        <v>0</v>
      </c>
      <c r="K11" s="6">
        <v>0</v>
      </c>
    </row>
    <row r="12" spans="1:11" x14ac:dyDescent="0.2">
      <c r="A12" s="5">
        <v>39326</v>
      </c>
      <c r="B12" s="6">
        <v>3</v>
      </c>
      <c r="C12" s="8" t="s">
        <v>28</v>
      </c>
      <c r="D12" s="8">
        <v>2</v>
      </c>
      <c r="E12" s="6" t="s">
        <v>10</v>
      </c>
      <c r="F12" s="6">
        <v>3</v>
      </c>
      <c r="G12" s="19">
        <v>4</v>
      </c>
      <c r="H12" s="86">
        <f t="shared" si="0"/>
        <v>1.3333333333333333</v>
      </c>
      <c r="I12" s="6">
        <v>9</v>
      </c>
      <c r="J12" s="6">
        <v>0</v>
      </c>
      <c r="K12" s="6">
        <v>1</v>
      </c>
    </row>
    <row r="13" spans="1:11" x14ac:dyDescent="0.2">
      <c r="A13" s="5">
        <v>39333</v>
      </c>
      <c r="B13" s="6">
        <v>4</v>
      </c>
      <c r="C13" s="8" t="s">
        <v>28</v>
      </c>
      <c r="D13" s="8">
        <v>2</v>
      </c>
      <c r="E13" s="6" t="s">
        <v>10</v>
      </c>
      <c r="F13" s="6">
        <v>3</v>
      </c>
      <c r="G13" s="19">
        <v>6</v>
      </c>
      <c r="H13" s="86">
        <f t="shared" si="0"/>
        <v>2</v>
      </c>
      <c r="I13" s="6">
        <v>14</v>
      </c>
      <c r="J13" s="6">
        <v>0</v>
      </c>
      <c r="K13" s="6">
        <v>1</v>
      </c>
    </row>
    <row r="14" spans="1:11" x14ac:dyDescent="0.2">
      <c r="A14" s="5">
        <v>39340</v>
      </c>
      <c r="B14" s="6">
        <v>5</v>
      </c>
      <c r="C14" s="8" t="s">
        <v>28</v>
      </c>
      <c r="D14" s="8">
        <v>2</v>
      </c>
      <c r="E14" s="6" t="s">
        <v>10</v>
      </c>
      <c r="F14" s="6">
        <v>3</v>
      </c>
      <c r="G14" s="19">
        <v>5</v>
      </c>
      <c r="H14" s="86">
        <f t="shared" si="0"/>
        <v>1.6666666666666667</v>
      </c>
      <c r="I14" s="6">
        <v>8</v>
      </c>
      <c r="J14" s="6">
        <v>0</v>
      </c>
      <c r="K14" s="6">
        <v>1</v>
      </c>
    </row>
    <row r="15" spans="1:11" x14ac:dyDescent="0.2">
      <c r="A15" s="5">
        <v>39347</v>
      </c>
      <c r="B15" s="6">
        <v>6</v>
      </c>
      <c r="C15" s="8" t="s">
        <v>28</v>
      </c>
      <c r="D15" s="8">
        <v>2</v>
      </c>
      <c r="E15" s="6" t="s">
        <v>10</v>
      </c>
      <c r="F15" s="6">
        <v>3</v>
      </c>
      <c r="G15" s="19">
        <v>1</v>
      </c>
      <c r="H15" s="86">
        <f t="shared" si="0"/>
        <v>0.33333333333333331</v>
      </c>
      <c r="I15" s="6">
        <v>2</v>
      </c>
      <c r="J15" s="6">
        <v>0</v>
      </c>
      <c r="K15" s="6">
        <v>5</v>
      </c>
    </row>
    <row r="16" spans="1:11" x14ac:dyDescent="0.2">
      <c r="A16" s="5">
        <v>39312</v>
      </c>
      <c r="B16" s="6">
        <v>1</v>
      </c>
      <c r="C16" s="8" t="s">
        <v>29</v>
      </c>
      <c r="D16" s="8">
        <v>3</v>
      </c>
      <c r="E16" s="6" t="s">
        <v>11</v>
      </c>
      <c r="F16" s="6">
        <v>2</v>
      </c>
      <c r="G16" s="19">
        <v>1</v>
      </c>
      <c r="H16" s="86">
        <f t="shared" si="0"/>
        <v>0.5</v>
      </c>
      <c r="I16" s="6">
        <v>0</v>
      </c>
      <c r="J16" s="6">
        <v>0</v>
      </c>
      <c r="K16" s="6">
        <v>0</v>
      </c>
    </row>
    <row r="17" spans="1:11" x14ac:dyDescent="0.2">
      <c r="A17" s="5">
        <v>39319</v>
      </c>
      <c r="B17" s="6">
        <v>2</v>
      </c>
      <c r="C17" s="8" t="s">
        <v>29</v>
      </c>
      <c r="D17" s="8">
        <v>3</v>
      </c>
      <c r="E17" s="6" t="s">
        <v>11</v>
      </c>
      <c r="F17" s="6">
        <v>2</v>
      </c>
      <c r="G17" s="19">
        <v>0</v>
      </c>
      <c r="H17" s="86">
        <f t="shared" si="0"/>
        <v>0</v>
      </c>
      <c r="I17" s="6">
        <v>1</v>
      </c>
      <c r="J17" s="6">
        <v>0</v>
      </c>
      <c r="K17" s="6">
        <v>0</v>
      </c>
    </row>
    <row r="18" spans="1:11" x14ac:dyDescent="0.2">
      <c r="A18" s="5">
        <v>39326</v>
      </c>
      <c r="B18" s="6">
        <v>3</v>
      </c>
      <c r="C18" s="8" t="s">
        <v>29</v>
      </c>
      <c r="D18" s="8">
        <v>3</v>
      </c>
      <c r="E18" s="6" t="s">
        <v>11</v>
      </c>
      <c r="F18" s="6">
        <v>2</v>
      </c>
      <c r="G18" s="19">
        <v>5</v>
      </c>
      <c r="H18" s="86">
        <f t="shared" si="0"/>
        <v>2.5</v>
      </c>
      <c r="I18" s="6">
        <v>13</v>
      </c>
      <c r="J18" s="6">
        <v>0</v>
      </c>
      <c r="K18" s="6">
        <v>0</v>
      </c>
    </row>
    <row r="19" spans="1:11" x14ac:dyDescent="0.2">
      <c r="A19" s="5">
        <v>39333</v>
      </c>
      <c r="B19" s="6">
        <v>4</v>
      </c>
      <c r="C19" s="8" t="s">
        <v>29</v>
      </c>
      <c r="D19" s="8">
        <v>3</v>
      </c>
      <c r="E19" s="6" t="s">
        <v>11</v>
      </c>
      <c r="F19" s="6">
        <v>2</v>
      </c>
      <c r="G19" s="19">
        <v>5</v>
      </c>
      <c r="H19" s="86">
        <f t="shared" si="0"/>
        <v>2.5</v>
      </c>
      <c r="I19" s="6">
        <v>7</v>
      </c>
      <c r="J19" s="6">
        <v>0</v>
      </c>
      <c r="K19" s="6">
        <v>0</v>
      </c>
    </row>
    <row r="20" spans="1:11" x14ac:dyDescent="0.2">
      <c r="A20" s="5">
        <v>39340</v>
      </c>
      <c r="B20" s="6">
        <v>5</v>
      </c>
      <c r="C20" s="8" t="s">
        <v>29</v>
      </c>
      <c r="D20" s="8">
        <v>3</v>
      </c>
      <c r="E20" s="6" t="s">
        <v>11</v>
      </c>
      <c r="F20" s="6">
        <v>2</v>
      </c>
      <c r="G20" s="19">
        <v>2</v>
      </c>
      <c r="H20" s="86">
        <f t="shared" si="0"/>
        <v>1</v>
      </c>
      <c r="I20" s="6">
        <v>5</v>
      </c>
      <c r="J20" s="6">
        <v>0</v>
      </c>
      <c r="K20" s="6">
        <v>1</v>
      </c>
    </row>
    <row r="21" spans="1:11" x14ac:dyDescent="0.2">
      <c r="A21" s="5">
        <v>39347</v>
      </c>
      <c r="B21" s="6">
        <v>6</v>
      </c>
      <c r="C21" s="8" t="s">
        <v>29</v>
      </c>
      <c r="D21" s="8">
        <v>3</v>
      </c>
      <c r="E21" s="6" t="s">
        <v>11</v>
      </c>
      <c r="F21" s="6">
        <v>2</v>
      </c>
      <c r="G21" s="19">
        <v>1</v>
      </c>
      <c r="H21" s="86">
        <f t="shared" si="0"/>
        <v>0.5</v>
      </c>
      <c r="I21" s="6">
        <v>2</v>
      </c>
      <c r="J21" s="6">
        <v>0</v>
      </c>
      <c r="K21" s="6">
        <v>0</v>
      </c>
    </row>
    <row r="22" spans="1:11" x14ac:dyDescent="0.2">
      <c r="A22" s="5">
        <v>39354</v>
      </c>
      <c r="B22" s="6">
        <v>7</v>
      </c>
      <c r="C22" s="8" t="s">
        <v>29</v>
      </c>
      <c r="D22" s="8">
        <v>3</v>
      </c>
      <c r="E22" s="6" t="s">
        <v>11</v>
      </c>
      <c r="F22" s="6">
        <v>2</v>
      </c>
      <c r="G22" s="19">
        <v>0</v>
      </c>
      <c r="H22" s="86">
        <f t="shared" si="0"/>
        <v>0</v>
      </c>
      <c r="I22" s="6">
        <v>0</v>
      </c>
      <c r="J22" s="6">
        <v>0</v>
      </c>
      <c r="K22" s="6">
        <v>0</v>
      </c>
    </row>
    <row r="23" spans="1:11" x14ac:dyDescent="0.2">
      <c r="A23" s="5">
        <v>39312</v>
      </c>
      <c r="B23" s="6">
        <v>1</v>
      </c>
      <c r="C23" s="8" t="s">
        <v>30</v>
      </c>
      <c r="D23" s="8">
        <v>4</v>
      </c>
      <c r="E23" s="6" t="s">
        <v>12</v>
      </c>
      <c r="F23" s="6">
        <v>5</v>
      </c>
      <c r="G23" s="19">
        <v>1</v>
      </c>
      <c r="H23" s="86">
        <f t="shared" si="0"/>
        <v>0.2</v>
      </c>
      <c r="I23" s="6">
        <v>0</v>
      </c>
      <c r="J23" s="6">
        <v>0</v>
      </c>
      <c r="K23" s="6">
        <v>0</v>
      </c>
    </row>
    <row r="24" spans="1:11" x14ac:dyDescent="0.2">
      <c r="A24" s="5">
        <v>39319</v>
      </c>
      <c r="B24" s="6">
        <v>2</v>
      </c>
      <c r="C24" s="8" t="s">
        <v>30</v>
      </c>
      <c r="D24" s="8">
        <v>4</v>
      </c>
      <c r="E24" s="6" t="s">
        <v>12</v>
      </c>
      <c r="F24" s="6">
        <v>5</v>
      </c>
      <c r="G24" s="19">
        <v>1</v>
      </c>
      <c r="H24" s="86">
        <f t="shared" si="0"/>
        <v>0.2</v>
      </c>
      <c r="I24" s="6">
        <v>2</v>
      </c>
      <c r="J24" s="6">
        <v>0</v>
      </c>
      <c r="K24" s="6">
        <v>0</v>
      </c>
    </row>
    <row r="25" spans="1:11" x14ac:dyDescent="0.2">
      <c r="A25" s="5">
        <v>39326</v>
      </c>
      <c r="B25" s="6">
        <v>3</v>
      </c>
      <c r="C25" s="8" t="s">
        <v>30</v>
      </c>
      <c r="D25" s="8">
        <v>4</v>
      </c>
      <c r="E25" s="6" t="s">
        <v>12</v>
      </c>
      <c r="F25" s="6">
        <v>5</v>
      </c>
      <c r="G25" s="19">
        <v>9</v>
      </c>
      <c r="H25" s="86">
        <f t="shared" si="0"/>
        <v>1.8</v>
      </c>
      <c r="I25" s="6">
        <v>16</v>
      </c>
      <c r="J25" s="6">
        <v>0</v>
      </c>
      <c r="K25" s="6">
        <v>0</v>
      </c>
    </row>
    <row r="26" spans="1:11" x14ac:dyDescent="0.2">
      <c r="A26" s="5">
        <v>39333</v>
      </c>
      <c r="B26" s="6">
        <v>4</v>
      </c>
      <c r="C26" s="8" t="s">
        <v>30</v>
      </c>
      <c r="D26" s="8">
        <v>4</v>
      </c>
      <c r="E26" s="6" t="s">
        <v>12</v>
      </c>
      <c r="F26" s="6">
        <v>5</v>
      </c>
      <c r="G26" s="19">
        <v>9</v>
      </c>
      <c r="H26" s="86">
        <f t="shared" si="0"/>
        <v>1.8</v>
      </c>
      <c r="I26" s="6">
        <v>28</v>
      </c>
      <c r="J26" s="6">
        <v>0</v>
      </c>
      <c r="K26" s="6">
        <v>1</v>
      </c>
    </row>
    <row r="27" spans="1:11" x14ac:dyDescent="0.2">
      <c r="A27" s="5">
        <v>39340</v>
      </c>
      <c r="B27" s="6">
        <v>5</v>
      </c>
      <c r="C27" s="8" t="s">
        <v>30</v>
      </c>
      <c r="D27" s="8">
        <v>4</v>
      </c>
      <c r="E27" s="6" t="s">
        <v>12</v>
      </c>
      <c r="F27" s="6">
        <v>5</v>
      </c>
      <c r="G27" s="19">
        <v>2</v>
      </c>
      <c r="H27" s="86">
        <f t="shared" si="0"/>
        <v>0.4</v>
      </c>
      <c r="I27" s="6">
        <v>13</v>
      </c>
      <c r="J27" s="6">
        <v>0</v>
      </c>
      <c r="K27" s="6">
        <v>6</v>
      </c>
    </row>
    <row r="28" spans="1:11" x14ac:dyDescent="0.2">
      <c r="A28" s="5">
        <v>39347</v>
      </c>
      <c r="B28" s="6">
        <v>6</v>
      </c>
      <c r="C28" s="8" t="s">
        <v>30</v>
      </c>
      <c r="D28" s="8">
        <v>4</v>
      </c>
      <c r="E28" s="6" t="s">
        <v>12</v>
      </c>
      <c r="F28" s="6">
        <v>5</v>
      </c>
      <c r="G28" s="19">
        <v>7</v>
      </c>
      <c r="H28" s="86">
        <f t="shared" si="0"/>
        <v>1.4</v>
      </c>
      <c r="I28" s="6">
        <v>5</v>
      </c>
      <c r="J28" s="6">
        <v>0</v>
      </c>
      <c r="K28" s="6">
        <v>3</v>
      </c>
    </row>
    <row r="29" spans="1:11" x14ac:dyDescent="0.2">
      <c r="A29" s="5">
        <v>39354</v>
      </c>
      <c r="B29" s="6">
        <v>7</v>
      </c>
      <c r="C29" s="8" t="s">
        <v>30</v>
      </c>
      <c r="D29" s="8">
        <v>4</v>
      </c>
      <c r="E29" s="6" t="s">
        <v>12</v>
      </c>
      <c r="F29" s="6">
        <v>5</v>
      </c>
      <c r="G29" s="19">
        <v>0</v>
      </c>
      <c r="H29" s="86">
        <f t="shared" si="0"/>
        <v>0</v>
      </c>
      <c r="I29" s="6">
        <v>0</v>
      </c>
      <c r="J29" s="6">
        <v>0</v>
      </c>
      <c r="K29" s="6">
        <v>0</v>
      </c>
    </row>
    <row r="30" spans="1:11" x14ac:dyDescent="0.2">
      <c r="A30" s="5">
        <v>39312</v>
      </c>
      <c r="B30" s="6">
        <v>1</v>
      </c>
      <c r="C30" s="8" t="s">
        <v>31</v>
      </c>
      <c r="D30" s="8">
        <v>5</v>
      </c>
      <c r="E30" s="6" t="s">
        <v>13</v>
      </c>
      <c r="F30" s="6">
        <v>2</v>
      </c>
      <c r="G30" s="19">
        <v>0</v>
      </c>
      <c r="H30" s="86">
        <f t="shared" si="0"/>
        <v>0</v>
      </c>
      <c r="I30" s="6">
        <v>0</v>
      </c>
      <c r="J30" s="6">
        <v>0</v>
      </c>
      <c r="K30" s="6">
        <v>0</v>
      </c>
    </row>
    <row r="31" spans="1:11" x14ac:dyDescent="0.2">
      <c r="A31" s="5">
        <v>39319</v>
      </c>
      <c r="B31" s="6">
        <v>2</v>
      </c>
      <c r="C31" s="8" t="s">
        <v>31</v>
      </c>
      <c r="D31" s="8">
        <v>5</v>
      </c>
      <c r="E31" s="6" t="s">
        <v>13</v>
      </c>
      <c r="F31" s="6">
        <v>2</v>
      </c>
      <c r="G31" s="19">
        <v>0</v>
      </c>
      <c r="H31" s="86">
        <f t="shared" si="0"/>
        <v>0</v>
      </c>
      <c r="I31" s="6">
        <v>0</v>
      </c>
      <c r="J31" s="6">
        <v>0</v>
      </c>
      <c r="K31" s="6">
        <v>0</v>
      </c>
    </row>
    <row r="32" spans="1:11" x14ac:dyDescent="0.2">
      <c r="A32" s="5">
        <v>39326</v>
      </c>
      <c r="B32" s="6">
        <v>3</v>
      </c>
      <c r="C32" s="8" t="s">
        <v>31</v>
      </c>
      <c r="D32" s="8">
        <v>5</v>
      </c>
      <c r="E32" s="6" t="s">
        <v>13</v>
      </c>
      <c r="F32" s="6">
        <v>2</v>
      </c>
      <c r="G32" s="19">
        <v>4</v>
      </c>
      <c r="H32" s="86">
        <f t="shared" si="0"/>
        <v>2</v>
      </c>
      <c r="I32" s="6">
        <v>7</v>
      </c>
      <c r="J32" s="6">
        <v>0</v>
      </c>
      <c r="K32" s="6">
        <v>0</v>
      </c>
    </row>
    <row r="33" spans="1:11" x14ac:dyDescent="0.2">
      <c r="A33" s="5">
        <v>39333</v>
      </c>
      <c r="B33" s="6">
        <v>4</v>
      </c>
      <c r="C33" s="8" t="s">
        <v>31</v>
      </c>
      <c r="D33" s="8">
        <v>5</v>
      </c>
      <c r="E33" s="6" t="s">
        <v>13</v>
      </c>
      <c r="F33" s="6">
        <v>2</v>
      </c>
      <c r="G33" s="19">
        <v>6</v>
      </c>
      <c r="H33" s="86">
        <f t="shared" si="0"/>
        <v>3</v>
      </c>
      <c r="I33" s="6">
        <v>8</v>
      </c>
      <c r="J33" s="6">
        <v>0</v>
      </c>
      <c r="K33" s="6">
        <v>0</v>
      </c>
    </row>
    <row r="34" spans="1:11" x14ac:dyDescent="0.2">
      <c r="A34" s="5">
        <v>39340</v>
      </c>
      <c r="B34" s="6">
        <v>5</v>
      </c>
      <c r="C34" s="8" t="s">
        <v>31</v>
      </c>
      <c r="D34" s="8">
        <v>5</v>
      </c>
      <c r="E34" s="6" t="s">
        <v>13</v>
      </c>
      <c r="F34" s="6">
        <v>2</v>
      </c>
      <c r="G34" s="19">
        <v>4</v>
      </c>
      <c r="H34" s="86">
        <f t="shared" si="0"/>
        <v>2</v>
      </c>
      <c r="I34" s="6">
        <v>11</v>
      </c>
      <c r="J34" s="6">
        <v>0</v>
      </c>
      <c r="K34" s="6">
        <v>5</v>
      </c>
    </row>
    <row r="35" spans="1:11" x14ac:dyDescent="0.2">
      <c r="A35" s="5">
        <v>39347</v>
      </c>
      <c r="B35" s="6">
        <v>6</v>
      </c>
      <c r="C35" s="8" t="s">
        <v>31</v>
      </c>
      <c r="D35" s="8">
        <v>5</v>
      </c>
      <c r="E35" s="6" t="s">
        <v>13</v>
      </c>
      <c r="F35" s="6">
        <v>2</v>
      </c>
      <c r="G35" s="19">
        <v>3</v>
      </c>
      <c r="H35" s="86">
        <f t="shared" si="0"/>
        <v>1.5</v>
      </c>
      <c r="I35" s="6">
        <v>5</v>
      </c>
      <c r="J35" s="6">
        <v>0</v>
      </c>
      <c r="K35" s="6">
        <v>2</v>
      </c>
    </row>
    <row r="36" spans="1:11" x14ac:dyDescent="0.2">
      <c r="A36" s="5">
        <v>39354</v>
      </c>
      <c r="B36" s="6">
        <v>7</v>
      </c>
      <c r="C36" s="8" t="s">
        <v>31</v>
      </c>
      <c r="D36" s="8">
        <v>5</v>
      </c>
      <c r="E36" s="6" t="s">
        <v>13</v>
      </c>
      <c r="F36" s="6">
        <v>2</v>
      </c>
      <c r="G36" s="19">
        <v>1</v>
      </c>
      <c r="H36" s="86">
        <f t="shared" si="0"/>
        <v>0.5</v>
      </c>
      <c r="I36" s="6">
        <v>0</v>
      </c>
      <c r="J36" s="6">
        <v>0</v>
      </c>
      <c r="K36" s="6">
        <v>1</v>
      </c>
    </row>
    <row r="37" spans="1:11" x14ac:dyDescent="0.2">
      <c r="A37" s="5">
        <v>39312</v>
      </c>
      <c r="B37" s="6">
        <v>1</v>
      </c>
      <c r="C37" s="8" t="s">
        <v>32</v>
      </c>
      <c r="D37" s="8">
        <v>6</v>
      </c>
      <c r="E37" s="6" t="s">
        <v>14</v>
      </c>
      <c r="F37" s="6">
        <v>4</v>
      </c>
      <c r="G37" s="19">
        <v>1</v>
      </c>
      <c r="H37" s="86">
        <f t="shared" si="0"/>
        <v>0.25</v>
      </c>
      <c r="I37" s="6">
        <v>0</v>
      </c>
      <c r="J37" s="6">
        <v>0</v>
      </c>
      <c r="K37" s="6">
        <v>0</v>
      </c>
    </row>
    <row r="38" spans="1:11" x14ac:dyDescent="0.2">
      <c r="A38" s="5">
        <v>39319</v>
      </c>
      <c r="B38" s="6">
        <v>2</v>
      </c>
      <c r="C38" s="8" t="s">
        <v>32</v>
      </c>
      <c r="D38" s="8">
        <v>6</v>
      </c>
      <c r="E38" s="6" t="s">
        <v>14</v>
      </c>
      <c r="F38" s="6">
        <v>4</v>
      </c>
      <c r="G38" s="19">
        <v>0</v>
      </c>
      <c r="H38" s="86">
        <f t="shared" si="0"/>
        <v>0</v>
      </c>
      <c r="I38" s="6">
        <v>3</v>
      </c>
      <c r="J38" s="6">
        <v>0</v>
      </c>
      <c r="K38" s="6">
        <v>0</v>
      </c>
    </row>
    <row r="39" spans="1:11" x14ac:dyDescent="0.2">
      <c r="A39" s="5">
        <v>39326</v>
      </c>
      <c r="B39" s="6">
        <v>3</v>
      </c>
      <c r="C39" s="8" t="s">
        <v>32</v>
      </c>
      <c r="D39" s="8">
        <v>6</v>
      </c>
      <c r="E39" s="6" t="s">
        <v>14</v>
      </c>
      <c r="F39" s="6">
        <v>4</v>
      </c>
      <c r="G39" s="19">
        <v>3</v>
      </c>
      <c r="H39" s="86">
        <f t="shared" si="0"/>
        <v>0.75</v>
      </c>
      <c r="I39" s="6">
        <v>4</v>
      </c>
      <c r="J39" s="6">
        <v>0</v>
      </c>
      <c r="K39" s="6">
        <v>0</v>
      </c>
    </row>
    <row r="40" spans="1:11" x14ac:dyDescent="0.2">
      <c r="A40" s="5">
        <v>39333</v>
      </c>
      <c r="B40" s="6">
        <v>4</v>
      </c>
      <c r="C40" s="8" t="s">
        <v>32</v>
      </c>
      <c r="D40" s="8">
        <v>6</v>
      </c>
      <c r="E40" s="6" t="s">
        <v>14</v>
      </c>
      <c r="F40" s="6">
        <v>4</v>
      </c>
      <c r="G40" s="19">
        <v>3</v>
      </c>
      <c r="H40" s="86">
        <f t="shared" si="0"/>
        <v>0.75</v>
      </c>
      <c r="I40" s="6">
        <v>11</v>
      </c>
      <c r="J40" s="6">
        <v>0</v>
      </c>
      <c r="K40" s="6">
        <v>0</v>
      </c>
    </row>
    <row r="41" spans="1:11" x14ac:dyDescent="0.2">
      <c r="A41" s="5">
        <v>39340</v>
      </c>
      <c r="B41" s="6">
        <v>5</v>
      </c>
      <c r="C41" s="8" t="s">
        <v>32</v>
      </c>
      <c r="D41" s="8">
        <v>6</v>
      </c>
      <c r="E41" s="6" t="s">
        <v>14</v>
      </c>
      <c r="F41" s="6">
        <v>4</v>
      </c>
      <c r="G41" s="19">
        <v>4</v>
      </c>
      <c r="H41" s="86">
        <f t="shared" si="0"/>
        <v>1</v>
      </c>
      <c r="I41" s="6">
        <v>11</v>
      </c>
      <c r="J41" s="6">
        <v>0</v>
      </c>
      <c r="K41" s="6">
        <v>2</v>
      </c>
    </row>
    <row r="42" spans="1:11" x14ac:dyDescent="0.2">
      <c r="A42" s="5">
        <v>39347</v>
      </c>
      <c r="B42" s="6">
        <v>6</v>
      </c>
      <c r="C42" s="8" t="s">
        <v>32</v>
      </c>
      <c r="D42" s="8">
        <v>6</v>
      </c>
      <c r="E42" s="6" t="s">
        <v>14</v>
      </c>
      <c r="F42" s="6">
        <v>4</v>
      </c>
      <c r="G42" s="19">
        <v>1</v>
      </c>
      <c r="H42" s="86">
        <f t="shared" si="0"/>
        <v>0.25</v>
      </c>
      <c r="I42" s="6">
        <v>1</v>
      </c>
      <c r="J42" s="6">
        <v>0</v>
      </c>
      <c r="K42" s="6">
        <v>3</v>
      </c>
    </row>
    <row r="43" spans="1:11" x14ac:dyDescent="0.2">
      <c r="A43" s="5">
        <v>39354</v>
      </c>
      <c r="B43" s="6">
        <v>7</v>
      </c>
      <c r="C43" s="8" t="s">
        <v>32</v>
      </c>
      <c r="D43" s="8">
        <v>6</v>
      </c>
      <c r="E43" s="6" t="s">
        <v>14</v>
      </c>
      <c r="F43" s="6">
        <v>4</v>
      </c>
      <c r="G43" s="19">
        <v>0</v>
      </c>
      <c r="H43" s="86">
        <f t="shared" si="0"/>
        <v>0</v>
      </c>
      <c r="I43" s="6">
        <v>0</v>
      </c>
      <c r="J43" s="6">
        <v>0</v>
      </c>
      <c r="K43" s="6">
        <v>2</v>
      </c>
    </row>
    <row r="44" spans="1:11" x14ac:dyDescent="0.2">
      <c r="A44" s="5">
        <v>39312</v>
      </c>
      <c r="B44" s="6">
        <v>1</v>
      </c>
      <c r="C44" s="8" t="s">
        <v>33</v>
      </c>
      <c r="D44" s="8">
        <v>7</v>
      </c>
      <c r="E44" s="6" t="s">
        <v>15</v>
      </c>
      <c r="F44" s="6">
        <v>3</v>
      </c>
      <c r="G44" s="19">
        <v>0</v>
      </c>
      <c r="H44" s="86">
        <f t="shared" si="0"/>
        <v>0</v>
      </c>
      <c r="I44" s="6">
        <v>3</v>
      </c>
      <c r="J44" s="6">
        <v>0</v>
      </c>
      <c r="K44" s="6">
        <v>0</v>
      </c>
    </row>
    <row r="45" spans="1:11" x14ac:dyDescent="0.2">
      <c r="A45" s="5">
        <v>39326</v>
      </c>
      <c r="B45" s="6">
        <v>2</v>
      </c>
      <c r="C45" s="8" t="s">
        <v>33</v>
      </c>
      <c r="D45" s="8">
        <v>7</v>
      </c>
      <c r="E45" s="6" t="s">
        <v>15</v>
      </c>
      <c r="F45" s="6">
        <v>3</v>
      </c>
      <c r="G45" s="19">
        <v>1</v>
      </c>
      <c r="H45" s="86">
        <f t="shared" si="0"/>
        <v>0.33333333333333331</v>
      </c>
      <c r="I45" s="6">
        <v>15</v>
      </c>
      <c r="J45" s="6">
        <v>0</v>
      </c>
      <c r="K45" s="6">
        <v>0</v>
      </c>
    </row>
    <row r="46" spans="1:11" x14ac:dyDescent="0.2">
      <c r="A46" s="5">
        <v>39333</v>
      </c>
      <c r="B46" s="6">
        <v>3</v>
      </c>
      <c r="C46" s="8" t="s">
        <v>33</v>
      </c>
      <c r="D46" s="8">
        <v>7</v>
      </c>
      <c r="E46" s="6" t="s">
        <v>15</v>
      </c>
      <c r="F46" s="6">
        <v>3</v>
      </c>
      <c r="G46" s="19">
        <v>2</v>
      </c>
      <c r="H46" s="86">
        <f t="shared" si="0"/>
        <v>0.66666666666666663</v>
      </c>
      <c r="I46" s="6">
        <v>5</v>
      </c>
      <c r="J46" s="6">
        <v>0</v>
      </c>
      <c r="K46" s="6">
        <v>0</v>
      </c>
    </row>
    <row r="47" spans="1:11" x14ac:dyDescent="0.2">
      <c r="A47" s="5">
        <v>39340</v>
      </c>
      <c r="B47" s="6">
        <v>4</v>
      </c>
      <c r="C47" s="8" t="s">
        <v>33</v>
      </c>
      <c r="D47" s="8">
        <v>7</v>
      </c>
      <c r="E47" s="6" t="s">
        <v>15</v>
      </c>
      <c r="F47" s="6">
        <v>3</v>
      </c>
      <c r="G47" s="19">
        <v>5</v>
      </c>
      <c r="H47" s="86">
        <f t="shared" si="0"/>
        <v>1.6666666666666667</v>
      </c>
      <c r="I47" s="6">
        <v>3</v>
      </c>
      <c r="J47" s="6">
        <v>0</v>
      </c>
      <c r="K47" s="6">
        <v>7</v>
      </c>
    </row>
    <row r="48" spans="1:11" x14ac:dyDescent="0.2">
      <c r="A48" s="5">
        <v>39347</v>
      </c>
      <c r="B48" s="6">
        <v>5</v>
      </c>
      <c r="C48" s="8" t="s">
        <v>33</v>
      </c>
      <c r="D48" s="8">
        <v>7</v>
      </c>
      <c r="E48" s="6" t="s">
        <v>15</v>
      </c>
      <c r="F48" s="6">
        <v>3</v>
      </c>
      <c r="G48" s="19">
        <v>4</v>
      </c>
      <c r="H48" s="86">
        <f t="shared" si="0"/>
        <v>1.3333333333333333</v>
      </c>
      <c r="I48" s="6">
        <v>2</v>
      </c>
      <c r="J48" s="6">
        <v>0</v>
      </c>
      <c r="K48" s="6">
        <v>2</v>
      </c>
    </row>
    <row r="49" spans="1:11" x14ac:dyDescent="0.2">
      <c r="A49" s="5">
        <v>39354</v>
      </c>
      <c r="B49" s="6">
        <v>6</v>
      </c>
      <c r="C49" s="8" t="s">
        <v>33</v>
      </c>
      <c r="D49" s="8">
        <v>7</v>
      </c>
      <c r="E49" s="6" t="s">
        <v>15</v>
      </c>
      <c r="F49" s="6">
        <v>3</v>
      </c>
      <c r="G49" s="19">
        <v>0</v>
      </c>
      <c r="H49" s="86">
        <f t="shared" si="0"/>
        <v>0</v>
      </c>
      <c r="I49" s="6">
        <v>1</v>
      </c>
      <c r="J49" s="6">
        <v>0</v>
      </c>
      <c r="K49" s="6">
        <v>1</v>
      </c>
    </row>
    <row r="50" spans="1:11" x14ac:dyDescent="0.2">
      <c r="A50" s="5">
        <v>39312</v>
      </c>
      <c r="B50" s="6">
        <v>1</v>
      </c>
      <c r="C50" s="8" t="s">
        <v>34</v>
      </c>
      <c r="D50" s="8">
        <v>8</v>
      </c>
      <c r="E50" s="6" t="s">
        <v>16</v>
      </c>
      <c r="F50" s="6">
        <v>3</v>
      </c>
      <c r="G50" s="19">
        <v>0</v>
      </c>
      <c r="H50" s="86">
        <f t="shared" si="0"/>
        <v>0</v>
      </c>
      <c r="I50" s="6">
        <v>6</v>
      </c>
      <c r="J50" s="6">
        <v>0</v>
      </c>
      <c r="K50" s="6">
        <v>0</v>
      </c>
    </row>
    <row r="51" spans="1:11" x14ac:dyDescent="0.2">
      <c r="A51" s="5">
        <v>39326</v>
      </c>
      <c r="B51" s="6">
        <v>2</v>
      </c>
      <c r="C51" s="8" t="s">
        <v>34</v>
      </c>
      <c r="D51" s="8">
        <v>8</v>
      </c>
      <c r="E51" s="6" t="s">
        <v>16</v>
      </c>
      <c r="F51" s="6">
        <v>3</v>
      </c>
      <c r="G51" s="19">
        <v>2</v>
      </c>
      <c r="H51" s="86">
        <f t="shared" si="0"/>
        <v>0.66666666666666663</v>
      </c>
      <c r="I51" s="6">
        <v>14</v>
      </c>
      <c r="J51" s="6">
        <v>0</v>
      </c>
      <c r="K51" s="6">
        <v>0</v>
      </c>
    </row>
    <row r="52" spans="1:11" x14ac:dyDescent="0.2">
      <c r="A52" s="5">
        <v>39333</v>
      </c>
      <c r="B52" s="6">
        <v>3</v>
      </c>
      <c r="C52" s="8" t="s">
        <v>34</v>
      </c>
      <c r="D52" s="8">
        <v>8</v>
      </c>
      <c r="E52" s="6" t="s">
        <v>16</v>
      </c>
      <c r="F52" s="6">
        <v>3</v>
      </c>
      <c r="G52" s="19">
        <v>16</v>
      </c>
      <c r="H52" s="86">
        <f t="shared" si="0"/>
        <v>5.333333333333333</v>
      </c>
      <c r="I52" s="6">
        <v>21</v>
      </c>
      <c r="J52" s="6">
        <v>0</v>
      </c>
      <c r="K52" s="6">
        <v>5</v>
      </c>
    </row>
    <row r="53" spans="1:11" x14ac:dyDescent="0.2">
      <c r="A53" s="5">
        <v>39340</v>
      </c>
      <c r="B53" s="6">
        <v>4</v>
      </c>
      <c r="C53" s="8" t="s">
        <v>34</v>
      </c>
      <c r="D53" s="8">
        <v>8</v>
      </c>
      <c r="E53" s="6" t="s">
        <v>16</v>
      </c>
      <c r="F53" s="6">
        <v>3</v>
      </c>
      <c r="G53" s="19">
        <v>13</v>
      </c>
      <c r="H53" s="86">
        <f t="shared" si="0"/>
        <v>4.333333333333333</v>
      </c>
      <c r="I53" s="6">
        <v>10</v>
      </c>
      <c r="J53" s="6">
        <v>0</v>
      </c>
      <c r="K53" s="6">
        <v>8</v>
      </c>
    </row>
    <row r="54" spans="1:11" x14ac:dyDescent="0.2">
      <c r="A54" s="5">
        <v>39347</v>
      </c>
      <c r="B54" s="6">
        <v>5</v>
      </c>
      <c r="C54" s="8" t="s">
        <v>34</v>
      </c>
      <c r="D54" s="8">
        <v>8</v>
      </c>
      <c r="E54" s="6" t="s">
        <v>16</v>
      </c>
      <c r="F54" s="6">
        <v>3</v>
      </c>
      <c r="G54" s="19">
        <v>7</v>
      </c>
      <c r="H54" s="86">
        <f t="shared" si="0"/>
        <v>2.3333333333333335</v>
      </c>
      <c r="I54" s="6">
        <v>5</v>
      </c>
      <c r="J54" s="6">
        <v>0</v>
      </c>
      <c r="K54" s="6">
        <v>6</v>
      </c>
    </row>
    <row r="55" spans="1:11" x14ac:dyDescent="0.2">
      <c r="A55" s="5">
        <v>39354</v>
      </c>
      <c r="B55" s="6">
        <v>6</v>
      </c>
      <c r="C55" s="8" t="s">
        <v>34</v>
      </c>
      <c r="D55" s="8">
        <v>8</v>
      </c>
      <c r="E55" s="6" t="s">
        <v>16</v>
      </c>
      <c r="F55" s="6">
        <v>3</v>
      </c>
      <c r="G55" s="19">
        <v>0</v>
      </c>
      <c r="H55" s="86">
        <f t="shared" si="0"/>
        <v>0</v>
      </c>
      <c r="I55" s="6">
        <v>2</v>
      </c>
      <c r="J55" s="6">
        <v>0</v>
      </c>
      <c r="K55" s="6">
        <v>6</v>
      </c>
    </row>
    <row r="56" spans="1:11" x14ac:dyDescent="0.2">
      <c r="A56" s="5">
        <v>39326</v>
      </c>
      <c r="B56" s="6">
        <v>1</v>
      </c>
      <c r="C56" s="8" t="s">
        <v>35</v>
      </c>
      <c r="D56" s="8">
        <v>9</v>
      </c>
      <c r="E56" s="6" t="s">
        <v>17</v>
      </c>
      <c r="F56" s="6">
        <v>4</v>
      </c>
      <c r="G56" s="19">
        <v>1</v>
      </c>
      <c r="H56" s="86">
        <f t="shared" si="0"/>
        <v>0.25</v>
      </c>
      <c r="I56" s="6">
        <v>8</v>
      </c>
      <c r="J56" s="6">
        <v>0</v>
      </c>
      <c r="K56" s="6">
        <v>0</v>
      </c>
    </row>
    <row r="57" spans="1:11" x14ac:dyDescent="0.2">
      <c r="A57" s="5">
        <v>39333</v>
      </c>
      <c r="B57" s="6">
        <v>2</v>
      </c>
      <c r="C57" s="8" t="s">
        <v>35</v>
      </c>
      <c r="D57" s="8">
        <v>9</v>
      </c>
      <c r="E57" s="6" t="s">
        <v>17</v>
      </c>
      <c r="F57" s="6">
        <v>4</v>
      </c>
      <c r="G57" s="19">
        <v>8</v>
      </c>
      <c r="H57" s="86">
        <f t="shared" si="0"/>
        <v>2</v>
      </c>
      <c r="I57" s="6">
        <v>0</v>
      </c>
      <c r="J57" s="6">
        <v>0</v>
      </c>
      <c r="K57" s="6">
        <v>1</v>
      </c>
    </row>
    <row r="58" spans="1:11" x14ac:dyDescent="0.2">
      <c r="A58" s="5">
        <v>39340</v>
      </c>
      <c r="B58" s="6">
        <v>3</v>
      </c>
      <c r="C58" s="8" t="s">
        <v>35</v>
      </c>
      <c r="D58" s="8">
        <v>9</v>
      </c>
      <c r="E58" s="6" t="s">
        <v>17</v>
      </c>
      <c r="F58" s="6">
        <v>4</v>
      </c>
      <c r="G58" s="19">
        <v>5</v>
      </c>
      <c r="H58" s="86">
        <f t="shared" si="0"/>
        <v>1.25</v>
      </c>
      <c r="I58" s="6">
        <v>2</v>
      </c>
      <c r="J58" s="6">
        <v>0</v>
      </c>
      <c r="K58" s="6">
        <v>3</v>
      </c>
    </row>
    <row r="59" spans="1:11" x14ac:dyDescent="0.2">
      <c r="A59" s="5">
        <v>39347</v>
      </c>
      <c r="B59" s="6">
        <v>4</v>
      </c>
      <c r="C59" s="8" t="s">
        <v>35</v>
      </c>
      <c r="D59" s="8">
        <v>9</v>
      </c>
      <c r="E59" s="6" t="s">
        <v>17</v>
      </c>
      <c r="F59" s="6">
        <v>4</v>
      </c>
      <c r="G59" s="19">
        <v>2</v>
      </c>
      <c r="H59" s="86">
        <f t="shared" si="0"/>
        <v>0.5</v>
      </c>
      <c r="I59" s="6">
        <v>2</v>
      </c>
      <c r="J59" s="6">
        <v>0</v>
      </c>
      <c r="K59" s="6">
        <v>3</v>
      </c>
    </row>
    <row r="60" spans="1:11" x14ac:dyDescent="0.2">
      <c r="A60" s="5">
        <v>39354</v>
      </c>
      <c r="B60" s="6">
        <v>5</v>
      </c>
      <c r="C60" s="8" t="s">
        <v>35</v>
      </c>
      <c r="D60" s="8">
        <v>9</v>
      </c>
      <c r="E60" s="6" t="s">
        <v>17</v>
      </c>
      <c r="F60" s="6">
        <v>4</v>
      </c>
      <c r="G60" s="19">
        <v>0</v>
      </c>
      <c r="H60" s="86">
        <f t="shared" si="0"/>
        <v>0</v>
      </c>
      <c r="I60" s="6">
        <v>1</v>
      </c>
      <c r="J60" s="6">
        <v>0</v>
      </c>
      <c r="K60" s="6">
        <v>0</v>
      </c>
    </row>
    <row r="61" spans="1:11" x14ac:dyDescent="0.2">
      <c r="A61" s="5">
        <v>39361</v>
      </c>
      <c r="B61" s="6">
        <v>6</v>
      </c>
      <c r="C61" s="8" t="s">
        <v>35</v>
      </c>
      <c r="D61" s="8">
        <v>9</v>
      </c>
      <c r="E61" s="6" t="s">
        <v>17</v>
      </c>
      <c r="F61" s="6">
        <v>4</v>
      </c>
      <c r="G61" s="19">
        <v>0</v>
      </c>
      <c r="H61" s="86">
        <f t="shared" si="0"/>
        <v>0</v>
      </c>
      <c r="I61" s="6">
        <v>0</v>
      </c>
      <c r="J61" s="6">
        <v>0</v>
      </c>
      <c r="K61" s="6">
        <v>0</v>
      </c>
    </row>
    <row r="62" spans="1:11" x14ac:dyDescent="0.2">
      <c r="A62" s="5">
        <v>39347</v>
      </c>
      <c r="B62" s="6">
        <v>1</v>
      </c>
      <c r="C62" s="8" t="s">
        <v>36</v>
      </c>
      <c r="D62" s="8">
        <v>10</v>
      </c>
      <c r="E62" s="6" t="s">
        <v>18</v>
      </c>
      <c r="F62" s="6">
        <v>5</v>
      </c>
      <c r="G62" s="19">
        <v>10</v>
      </c>
      <c r="H62" s="86">
        <f t="shared" si="0"/>
        <v>2</v>
      </c>
      <c r="I62" s="6">
        <v>5</v>
      </c>
      <c r="J62" s="6">
        <v>0</v>
      </c>
      <c r="K62" s="6">
        <v>1</v>
      </c>
    </row>
    <row r="63" spans="1:11" x14ac:dyDescent="0.2">
      <c r="A63" s="5">
        <v>39354</v>
      </c>
      <c r="B63" s="6">
        <v>2</v>
      </c>
      <c r="C63" s="8" t="s">
        <v>36</v>
      </c>
      <c r="D63" s="8">
        <v>10</v>
      </c>
      <c r="E63" s="6" t="s">
        <v>18</v>
      </c>
      <c r="F63" s="6">
        <v>5</v>
      </c>
      <c r="G63" s="19">
        <v>0</v>
      </c>
      <c r="H63" s="86">
        <f t="shared" si="0"/>
        <v>0</v>
      </c>
      <c r="I63" s="6">
        <v>0</v>
      </c>
      <c r="J63" s="6">
        <v>0</v>
      </c>
      <c r="K63" s="6">
        <v>0</v>
      </c>
    </row>
    <row r="64" spans="1:11" x14ac:dyDescent="0.2">
      <c r="A64" s="5">
        <v>39361</v>
      </c>
      <c r="B64" s="6">
        <v>3</v>
      </c>
      <c r="C64" s="8" t="s">
        <v>36</v>
      </c>
      <c r="D64" s="8">
        <v>10</v>
      </c>
      <c r="E64" s="6" t="s">
        <v>18</v>
      </c>
      <c r="F64" s="6">
        <v>5</v>
      </c>
      <c r="G64" s="19">
        <v>0</v>
      </c>
      <c r="H64" s="86">
        <f t="shared" si="0"/>
        <v>0</v>
      </c>
      <c r="I64" s="6">
        <v>0</v>
      </c>
      <c r="J64" s="6">
        <v>0</v>
      </c>
      <c r="K64" s="6">
        <v>0</v>
      </c>
    </row>
    <row r="65" spans="1:11" x14ac:dyDescent="0.2">
      <c r="A65" s="5">
        <v>39347</v>
      </c>
      <c r="B65" s="6">
        <v>1</v>
      </c>
      <c r="C65" s="8" t="s">
        <v>37</v>
      </c>
      <c r="D65" s="8">
        <v>11</v>
      </c>
      <c r="E65" s="6" t="s">
        <v>19</v>
      </c>
      <c r="F65" s="6">
        <v>4</v>
      </c>
      <c r="G65" s="19">
        <v>3</v>
      </c>
      <c r="H65" s="86">
        <f t="shared" si="0"/>
        <v>0.75</v>
      </c>
      <c r="I65" s="6">
        <v>2</v>
      </c>
      <c r="J65" s="6">
        <v>0</v>
      </c>
      <c r="K65" s="6">
        <v>3</v>
      </c>
    </row>
    <row r="66" spans="1:11" x14ac:dyDescent="0.2">
      <c r="A66" s="5">
        <v>39354</v>
      </c>
      <c r="B66" s="6">
        <v>2</v>
      </c>
      <c r="C66" s="8" t="s">
        <v>37</v>
      </c>
      <c r="D66" s="8">
        <v>11</v>
      </c>
      <c r="E66" s="6" t="s">
        <v>19</v>
      </c>
      <c r="F66" s="6">
        <v>4</v>
      </c>
      <c r="G66" s="19">
        <v>0</v>
      </c>
      <c r="H66" s="86">
        <f t="shared" si="0"/>
        <v>0</v>
      </c>
      <c r="I66" s="6">
        <v>0</v>
      </c>
      <c r="J66" s="6">
        <v>0</v>
      </c>
      <c r="K66" s="6">
        <v>0</v>
      </c>
    </row>
    <row r="67" spans="1:11" x14ac:dyDescent="0.2">
      <c r="A67" s="5">
        <v>39361</v>
      </c>
      <c r="B67" s="6">
        <v>3</v>
      </c>
      <c r="C67" s="8" t="s">
        <v>37</v>
      </c>
      <c r="D67" s="8">
        <v>11</v>
      </c>
      <c r="E67" s="6" t="s">
        <v>19</v>
      </c>
      <c r="F67" s="6">
        <v>4</v>
      </c>
      <c r="G67" s="19">
        <v>0</v>
      </c>
      <c r="H67" s="86">
        <f t="shared" si="0"/>
        <v>0</v>
      </c>
      <c r="I67" s="6">
        <v>0</v>
      </c>
      <c r="J67" s="6">
        <v>0</v>
      </c>
      <c r="K67" s="6">
        <v>0</v>
      </c>
    </row>
    <row r="68" spans="1:11" x14ac:dyDescent="0.2">
      <c r="A68" s="5">
        <v>39347</v>
      </c>
      <c r="B68" s="6">
        <v>1</v>
      </c>
      <c r="C68" s="8" t="s">
        <v>38</v>
      </c>
      <c r="D68" s="8">
        <v>12</v>
      </c>
      <c r="E68" s="6" t="s">
        <v>20</v>
      </c>
      <c r="F68" s="6">
        <v>3</v>
      </c>
      <c r="G68" s="19">
        <v>4</v>
      </c>
      <c r="H68" s="86">
        <f t="shared" si="0"/>
        <v>1.3333333333333333</v>
      </c>
      <c r="I68" s="6">
        <v>0</v>
      </c>
      <c r="J68" s="6">
        <v>0</v>
      </c>
      <c r="K68" s="6">
        <v>0</v>
      </c>
    </row>
    <row r="69" spans="1:11" x14ac:dyDescent="0.2">
      <c r="A69" s="5">
        <v>39354</v>
      </c>
      <c r="B69" s="6">
        <v>2</v>
      </c>
      <c r="C69" s="8" t="s">
        <v>38</v>
      </c>
      <c r="D69" s="8">
        <v>12</v>
      </c>
      <c r="E69" s="6" t="s">
        <v>20</v>
      </c>
      <c r="F69" s="6">
        <v>3</v>
      </c>
      <c r="G69" s="19">
        <v>0</v>
      </c>
      <c r="H69" s="86">
        <f t="shared" ref="H69:H77" si="1">G69/F69</f>
        <v>0</v>
      </c>
      <c r="I69" s="6">
        <v>0</v>
      </c>
      <c r="J69" s="6">
        <v>0</v>
      </c>
      <c r="K69" s="6">
        <v>0</v>
      </c>
    </row>
    <row r="70" spans="1:11" x14ac:dyDescent="0.2">
      <c r="A70" s="5">
        <v>39361</v>
      </c>
      <c r="B70" s="6">
        <v>3</v>
      </c>
      <c r="C70" s="8" t="s">
        <v>38</v>
      </c>
      <c r="D70" s="8">
        <v>12</v>
      </c>
      <c r="E70" s="6" t="s">
        <v>20</v>
      </c>
      <c r="F70" s="6">
        <v>3</v>
      </c>
      <c r="G70" s="19">
        <v>1</v>
      </c>
      <c r="H70" s="86">
        <f t="shared" si="1"/>
        <v>0.33333333333333331</v>
      </c>
      <c r="I70" s="6">
        <v>0</v>
      </c>
      <c r="J70" s="6">
        <v>0</v>
      </c>
      <c r="K70" s="6">
        <v>0</v>
      </c>
    </row>
    <row r="71" spans="1:11" x14ac:dyDescent="0.2">
      <c r="A71" s="5">
        <v>39347</v>
      </c>
      <c r="B71" s="6">
        <v>1</v>
      </c>
      <c r="C71" s="8" t="s">
        <v>124</v>
      </c>
      <c r="D71" s="8">
        <v>13</v>
      </c>
      <c r="E71" s="6" t="s">
        <v>21</v>
      </c>
      <c r="F71" s="6">
        <v>3</v>
      </c>
      <c r="G71" s="19">
        <v>0</v>
      </c>
      <c r="H71" s="86">
        <f t="shared" si="1"/>
        <v>0</v>
      </c>
      <c r="I71" s="6">
        <v>0</v>
      </c>
      <c r="J71" s="6">
        <v>0</v>
      </c>
      <c r="K71" s="6">
        <v>0</v>
      </c>
    </row>
    <row r="72" spans="1:11" x14ac:dyDescent="0.2">
      <c r="A72" s="5">
        <v>39354</v>
      </c>
      <c r="B72" s="6">
        <v>2</v>
      </c>
      <c r="C72" s="8" t="s">
        <v>124</v>
      </c>
      <c r="D72" s="8">
        <v>13</v>
      </c>
      <c r="E72" s="6" t="s">
        <v>21</v>
      </c>
      <c r="F72" s="6">
        <v>3</v>
      </c>
      <c r="G72" s="6">
        <v>0</v>
      </c>
      <c r="H72" s="86">
        <f t="shared" si="1"/>
        <v>0</v>
      </c>
      <c r="I72" s="6">
        <v>0</v>
      </c>
      <c r="J72" s="6">
        <v>0</v>
      </c>
      <c r="K72" s="6">
        <v>0</v>
      </c>
    </row>
    <row r="73" spans="1:11" x14ac:dyDescent="0.2">
      <c r="A73" s="5">
        <v>39361</v>
      </c>
      <c r="B73" s="6">
        <v>3</v>
      </c>
      <c r="C73" s="8" t="s">
        <v>124</v>
      </c>
      <c r="D73" s="8">
        <v>13</v>
      </c>
      <c r="E73" s="6" t="s">
        <v>21</v>
      </c>
      <c r="F73" s="6">
        <v>3</v>
      </c>
      <c r="G73" s="6">
        <v>1</v>
      </c>
      <c r="H73" s="86">
        <f t="shared" si="1"/>
        <v>0.33333333333333331</v>
      </c>
      <c r="I73" s="6">
        <v>0</v>
      </c>
      <c r="J73" s="6">
        <v>0</v>
      </c>
      <c r="K73" s="6">
        <v>0</v>
      </c>
    </row>
    <row r="74" spans="1:11" x14ac:dyDescent="0.2">
      <c r="A74" s="5">
        <v>39347</v>
      </c>
      <c r="B74" s="6">
        <v>1</v>
      </c>
      <c r="C74" s="8" t="s">
        <v>123</v>
      </c>
      <c r="D74" s="8">
        <v>14</v>
      </c>
      <c r="E74" s="6" t="s">
        <v>22</v>
      </c>
      <c r="F74" s="6">
        <v>3</v>
      </c>
      <c r="G74" s="6">
        <v>0</v>
      </c>
      <c r="H74" s="86">
        <f t="shared" si="1"/>
        <v>0</v>
      </c>
      <c r="I74" s="6">
        <v>0</v>
      </c>
      <c r="J74" s="6">
        <v>0</v>
      </c>
      <c r="K74" s="6">
        <v>0</v>
      </c>
    </row>
    <row r="75" spans="1:11" x14ac:dyDescent="0.2">
      <c r="A75" s="5">
        <v>39354</v>
      </c>
      <c r="B75" s="6">
        <v>2</v>
      </c>
      <c r="C75" s="8" t="s">
        <v>123</v>
      </c>
      <c r="D75" s="8">
        <v>14</v>
      </c>
      <c r="E75" s="6" t="s">
        <v>22</v>
      </c>
      <c r="F75" s="6">
        <v>3</v>
      </c>
      <c r="G75" s="6">
        <v>0</v>
      </c>
      <c r="H75" s="86">
        <f t="shared" si="1"/>
        <v>0</v>
      </c>
      <c r="I75" s="6">
        <v>0</v>
      </c>
      <c r="J75" s="6">
        <v>0</v>
      </c>
      <c r="K75" s="6">
        <v>0</v>
      </c>
    </row>
    <row r="76" spans="1:11" ht="13.5" thickBot="1" x14ac:dyDescent="0.25">
      <c r="A76" s="5">
        <v>39361</v>
      </c>
      <c r="B76" s="6">
        <v>3</v>
      </c>
      <c r="C76" s="8" t="s">
        <v>123</v>
      </c>
      <c r="D76" s="8">
        <v>14</v>
      </c>
      <c r="E76" s="6" t="s">
        <v>22</v>
      </c>
      <c r="F76" s="80">
        <v>3</v>
      </c>
      <c r="G76" s="80">
        <v>0</v>
      </c>
      <c r="H76" s="87">
        <f t="shared" si="1"/>
        <v>0</v>
      </c>
      <c r="I76" s="80">
        <v>0</v>
      </c>
      <c r="J76" s="80">
        <v>0</v>
      </c>
      <c r="K76" s="80">
        <v>0</v>
      </c>
    </row>
    <row r="77" spans="1:11" x14ac:dyDescent="0.2">
      <c r="F77" s="3">
        <f>SUM(F4:F76)</f>
        <v>259</v>
      </c>
      <c r="G77" s="3">
        <f>SUM(G4:G76)</f>
        <v>192</v>
      </c>
      <c r="H77" s="88">
        <f t="shared" si="1"/>
        <v>0.74131274131274127</v>
      </c>
      <c r="I77" s="3">
        <f t="shared" ref="I77:K77" si="2">SUM(I4:I76)</f>
        <v>332</v>
      </c>
      <c r="J77" s="3">
        <f t="shared" si="2"/>
        <v>0</v>
      </c>
      <c r="K77" s="3">
        <f t="shared" si="2"/>
        <v>83</v>
      </c>
    </row>
    <row r="81" spans="1:1" x14ac:dyDescent="0.2">
      <c r="A81" t="s">
        <v>82</v>
      </c>
    </row>
  </sheetData>
  <sortState xmlns:xlrd2="http://schemas.microsoft.com/office/spreadsheetml/2017/richdata2" ref="A4:K76">
    <sortCondition ref="D4:D76"/>
  </sortState>
  <phoneticPr fontId="0" type="noConversion"/>
  <pageMargins left="0.75" right="0.75" top="1" bottom="1" header="0.5" footer="0.5"/>
  <pageSetup orientation="portrait" r:id="rId1"/>
  <headerFooter alignWithMargins="0"/>
  <ignoredErrors>
    <ignoredError sqref="H77" formula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63"/>
  <sheetViews>
    <sheetView workbookViewId="0">
      <pane ySplit="3" topLeftCell="A23" activePane="bottomLeft" state="frozen"/>
      <selection pane="bottomLeft" activeCell="G47" sqref="G47:G61"/>
    </sheetView>
  </sheetViews>
  <sheetFormatPr defaultRowHeight="12.75" x14ac:dyDescent="0.2"/>
  <cols>
    <col min="5" max="5" width="29.140625" bestFit="1" customWidth="1"/>
  </cols>
  <sheetData>
    <row r="1" spans="1:11" x14ac:dyDescent="0.2">
      <c r="A1" s="2"/>
      <c r="B1" s="2"/>
      <c r="C1" s="2" t="s">
        <v>25</v>
      </c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1" x14ac:dyDescent="0.2">
      <c r="A2" s="2" t="s">
        <v>0</v>
      </c>
      <c r="B2" s="2" t="s">
        <v>1</v>
      </c>
      <c r="C2" s="2" t="s">
        <v>26</v>
      </c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1" ht="13.5" thickBot="1" x14ac:dyDescent="0.25">
      <c r="A3" s="1"/>
      <c r="I3" s="1"/>
      <c r="J3" s="4" t="s">
        <v>6</v>
      </c>
      <c r="K3" s="4" t="s">
        <v>7</v>
      </c>
    </row>
    <row r="4" spans="1:11" x14ac:dyDescent="0.2">
      <c r="A4" s="5">
        <v>39334</v>
      </c>
      <c r="B4" s="6">
        <v>4</v>
      </c>
      <c r="C4" s="8" t="s">
        <v>97</v>
      </c>
      <c r="D4" s="8" t="s">
        <v>183</v>
      </c>
      <c r="E4" s="6" t="s">
        <v>100</v>
      </c>
      <c r="F4" s="6">
        <v>12</v>
      </c>
      <c r="G4" s="6">
        <v>11</v>
      </c>
      <c r="H4" s="86">
        <f>G4/F4</f>
        <v>0.91666666666666663</v>
      </c>
      <c r="I4" s="6">
        <v>13</v>
      </c>
      <c r="J4" s="6">
        <v>0</v>
      </c>
      <c r="K4" s="6">
        <v>0</v>
      </c>
    </row>
    <row r="5" spans="1:11" x14ac:dyDescent="0.2">
      <c r="A5" s="5">
        <v>39313</v>
      </c>
      <c r="B5" s="6">
        <v>1</v>
      </c>
      <c r="C5" s="8" t="s">
        <v>27</v>
      </c>
      <c r="D5" s="8">
        <v>1</v>
      </c>
      <c r="E5" s="6" t="s">
        <v>9</v>
      </c>
      <c r="F5" s="6">
        <v>6</v>
      </c>
      <c r="G5" s="6">
        <v>0</v>
      </c>
      <c r="H5" s="86">
        <f t="shared" ref="H5:H63" si="0">G5/F5</f>
        <v>0</v>
      </c>
      <c r="I5" s="6">
        <v>0</v>
      </c>
      <c r="J5" s="6">
        <v>0</v>
      </c>
      <c r="K5" s="6">
        <v>0</v>
      </c>
    </row>
    <row r="6" spans="1:11" x14ac:dyDescent="0.2">
      <c r="A6" s="5">
        <v>39321</v>
      </c>
      <c r="B6" s="6">
        <v>2</v>
      </c>
      <c r="C6" s="8" t="s">
        <v>27</v>
      </c>
      <c r="D6" s="8">
        <v>1</v>
      </c>
      <c r="E6" s="6" t="s">
        <v>9</v>
      </c>
      <c r="F6" s="6">
        <v>6</v>
      </c>
      <c r="G6" s="6">
        <v>2</v>
      </c>
      <c r="H6" s="86">
        <f t="shared" si="0"/>
        <v>0.33333333333333331</v>
      </c>
      <c r="I6" s="6">
        <v>2</v>
      </c>
      <c r="J6" s="6">
        <v>0</v>
      </c>
      <c r="K6" s="6">
        <v>0</v>
      </c>
    </row>
    <row r="7" spans="1:11" x14ac:dyDescent="0.2">
      <c r="A7" s="5">
        <v>39327</v>
      </c>
      <c r="B7" s="6">
        <v>3</v>
      </c>
      <c r="C7" s="8" t="s">
        <v>27</v>
      </c>
      <c r="D7" s="8">
        <v>1</v>
      </c>
      <c r="E7" s="6" t="s">
        <v>9</v>
      </c>
      <c r="F7" s="6">
        <v>6</v>
      </c>
      <c r="G7" s="6">
        <v>1</v>
      </c>
      <c r="H7" s="86">
        <f t="shared" si="0"/>
        <v>0.16666666666666666</v>
      </c>
      <c r="I7" s="6">
        <v>3</v>
      </c>
      <c r="J7" s="6">
        <v>0</v>
      </c>
      <c r="K7" s="6">
        <v>0</v>
      </c>
    </row>
    <row r="8" spans="1:11" x14ac:dyDescent="0.2">
      <c r="A8" s="5">
        <v>39341</v>
      </c>
      <c r="B8" s="6">
        <v>5</v>
      </c>
      <c r="C8" s="8" t="s">
        <v>78</v>
      </c>
      <c r="D8" s="52" t="s">
        <v>184</v>
      </c>
      <c r="E8" s="6" t="s">
        <v>79</v>
      </c>
      <c r="F8" s="6">
        <v>9</v>
      </c>
      <c r="G8" s="6">
        <v>2</v>
      </c>
      <c r="H8" s="86">
        <f t="shared" si="0"/>
        <v>0.22222222222222221</v>
      </c>
      <c r="I8" s="6">
        <v>5</v>
      </c>
      <c r="J8" s="6">
        <v>0</v>
      </c>
      <c r="K8" s="6">
        <v>0</v>
      </c>
    </row>
    <row r="9" spans="1:11" x14ac:dyDescent="0.2">
      <c r="A9" s="5">
        <v>39313</v>
      </c>
      <c r="B9" s="6">
        <v>1</v>
      </c>
      <c r="C9" s="8" t="s">
        <v>28</v>
      </c>
      <c r="D9" s="8">
        <v>2</v>
      </c>
      <c r="E9" s="6" t="s">
        <v>10</v>
      </c>
      <c r="F9" s="6">
        <v>3</v>
      </c>
      <c r="G9" s="6">
        <v>0</v>
      </c>
      <c r="H9" s="86">
        <f t="shared" si="0"/>
        <v>0</v>
      </c>
      <c r="I9" s="6">
        <v>0</v>
      </c>
      <c r="J9" s="6">
        <v>0</v>
      </c>
      <c r="K9" s="6">
        <v>0</v>
      </c>
    </row>
    <row r="10" spans="1:11" x14ac:dyDescent="0.2">
      <c r="A10" s="5">
        <v>39321</v>
      </c>
      <c r="B10" s="6">
        <v>2</v>
      </c>
      <c r="C10" s="8" t="s">
        <v>28</v>
      </c>
      <c r="D10" s="8">
        <v>2</v>
      </c>
      <c r="E10" s="6" t="s">
        <v>10</v>
      </c>
      <c r="F10" s="6">
        <v>3</v>
      </c>
      <c r="G10" s="6">
        <v>1</v>
      </c>
      <c r="H10" s="86">
        <f t="shared" si="0"/>
        <v>0.33333333333333331</v>
      </c>
      <c r="I10" s="6">
        <v>2</v>
      </c>
      <c r="J10" s="6">
        <v>0</v>
      </c>
      <c r="K10" s="6">
        <v>0</v>
      </c>
    </row>
    <row r="11" spans="1:11" x14ac:dyDescent="0.2">
      <c r="A11" s="5">
        <v>39327</v>
      </c>
      <c r="B11" s="6">
        <v>3</v>
      </c>
      <c r="C11" s="8" t="s">
        <v>28</v>
      </c>
      <c r="D11" s="8">
        <v>2</v>
      </c>
      <c r="E11" s="6" t="s">
        <v>10</v>
      </c>
      <c r="F11" s="6">
        <v>3</v>
      </c>
      <c r="G11" s="6">
        <v>0</v>
      </c>
      <c r="H11" s="86">
        <f t="shared" si="0"/>
        <v>0</v>
      </c>
      <c r="I11" s="6">
        <v>12</v>
      </c>
      <c r="J11" s="6">
        <v>0</v>
      </c>
      <c r="K11" s="6">
        <v>0</v>
      </c>
    </row>
    <row r="12" spans="1:11" x14ac:dyDescent="0.2">
      <c r="A12" s="5">
        <v>39348</v>
      </c>
      <c r="B12" s="6">
        <v>6</v>
      </c>
      <c r="C12" s="8" t="s">
        <v>28</v>
      </c>
      <c r="D12" s="8">
        <v>2</v>
      </c>
      <c r="E12" s="6" t="s">
        <v>10</v>
      </c>
      <c r="F12" s="6">
        <v>3</v>
      </c>
      <c r="G12" s="6">
        <v>0</v>
      </c>
      <c r="H12" s="86">
        <f t="shared" si="0"/>
        <v>0</v>
      </c>
      <c r="I12" s="6">
        <v>0</v>
      </c>
      <c r="J12" s="6">
        <v>0</v>
      </c>
      <c r="K12" s="6">
        <v>1</v>
      </c>
    </row>
    <row r="13" spans="1:11" x14ac:dyDescent="0.2">
      <c r="A13" s="5">
        <v>39313</v>
      </c>
      <c r="B13" s="6">
        <v>1</v>
      </c>
      <c r="C13" s="8" t="s">
        <v>29</v>
      </c>
      <c r="D13" s="8">
        <v>3</v>
      </c>
      <c r="E13" s="6" t="s">
        <v>11</v>
      </c>
      <c r="F13" s="6">
        <v>2</v>
      </c>
      <c r="G13" s="6">
        <v>0</v>
      </c>
      <c r="H13" s="86">
        <f t="shared" si="0"/>
        <v>0</v>
      </c>
      <c r="I13" s="6">
        <v>0</v>
      </c>
      <c r="J13" s="6">
        <v>0</v>
      </c>
      <c r="K13" s="6">
        <v>0</v>
      </c>
    </row>
    <row r="14" spans="1:11" x14ac:dyDescent="0.2">
      <c r="A14" s="5">
        <v>39321</v>
      </c>
      <c r="B14" s="6">
        <v>2</v>
      </c>
      <c r="C14" s="8" t="s">
        <v>29</v>
      </c>
      <c r="D14" s="8">
        <v>3</v>
      </c>
      <c r="E14" s="6" t="s">
        <v>11</v>
      </c>
      <c r="F14" s="6">
        <v>2</v>
      </c>
      <c r="G14" s="6">
        <v>1</v>
      </c>
      <c r="H14" s="86">
        <f t="shared" si="0"/>
        <v>0.5</v>
      </c>
      <c r="I14" s="6">
        <v>6</v>
      </c>
      <c r="J14" s="6">
        <v>0</v>
      </c>
      <c r="K14" s="6">
        <v>0</v>
      </c>
    </row>
    <row r="15" spans="1:11" x14ac:dyDescent="0.2">
      <c r="A15" s="5">
        <v>39327</v>
      </c>
      <c r="B15" s="6">
        <v>3</v>
      </c>
      <c r="C15" s="8" t="s">
        <v>29</v>
      </c>
      <c r="D15" s="8">
        <v>3</v>
      </c>
      <c r="E15" s="6" t="s">
        <v>11</v>
      </c>
      <c r="F15" s="6">
        <v>2</v>
      </c>
      <c r="G15" s="6">
        <v>3</v>
      </c>
      <c r="H15" s="86">
        <f t="shared" si="0"/>
        <v>1.5</v>
      </c>
      <c r="I15" s="6">
        <v>8</v>
      </c>
      <c r="J15" s="6">
        <v>0</v>
      </c>
      <c r="K15" s="6">
        <v>0</v>
      </c>
    </row>
    <row r="16" spans="1:11" x14ac:dyDescent="0.2">
      <c r="A16" s="5">
        <v>39334</v>
      </c>
      <c r="B16" s="6">
        <v>4</v>
      </c>
      <c r="C16" s="8" t="s">
        <v>29</v>
      </c>
      <c r="D16" s="8">
        <v>3</v>
      </c>
      <c r="E16" s="6" t="s">
        <v>11</v>
      </c>
      <c r="F16" s="6">
        <v>2</v>
      </c>
      <c r="G16" s="6">
        <v>5</v>
      </c>
      <c r="H16" s="86">
        <f t="shared" si="0"/>
        <v>2.5</v>
      </c>
      <c r="I16" s="6">
        <v>21</v>
      </c>
      <c r="J16" s="6">
        <v>0</v>
      </c>
      <c r="K16" s="6">
        <v>0</v>
      </c>
    </row>
    <row r="17" spans="1:11" x14ac:dyDescent="0.2">
      <c r="A17" s="5">
        <v>39341</v>
      </c>
      <c r="B17" s="6">
        <v>5</v>
      </c>
      <c r="C17" s="8" t="s">
        <v>29</v>
      </c>
      <c r="D17" s="8">
        <v>3</v>
      </c>
      <c r="E17" s="6" t="s">
        <v>11</v>
      </c>
      <c r="F17" s="6">
        <v>2</v>
      </c>
      <c r="G17" s="6">
        <v>5</v>
      </c>
      <c r="H17" s="86">
        <f t="shared" si="0"/>
        <v>2.5</v>
      </c>
      <c r="I17" s="6">
        <v>12</v>
      </c>
      <c r="J17" s="6">
        <v>0</v>
      </c>
      <c r="K17" s="6">
        <v>2</v>
      </c>
    </row>
    <row r="18" spans="1:11" x14ac:dyDescent="0.2">
      <c r="A18" s="5">
        <v>39348</v>
      </c>
      <c r="B18" s="6">
        <v>6</v>
      </c>
      <c r="C18" s="8" t="s">
        <v>29</v>
      </c>
      <c r="D18" s="8">
        <v>3</v>
      </c>
      <c r="E18" s="6" t="s">
        <v>11</v>
      </c>
      <c r="F18" s="6">
        <v>2</v>
      </c>
      <c r="G18" s="6">
        <v>1</v>
      </c>
      <c r="H18" s="86">
        <f t="shared" si="0"/>
        <v>0.5</v>
      </c>
      <c r="I18" s="6">
        <v>1</v>
      </c>
      <c r="J18" s="6">
        <v>0</v>
      </c>
      <c r="K18" s="6">
        <v>1</v>
      </c>
    </row>
    <row r="19" spans="1:11" x14ac:dyDescent="0.2">
      <c r="A19" s="5">
        <v>39354</v>
      </c>
      <c r="B19" s="6">
        <v>7</v>
      </c>
      <c r="C19" s="8" t="s">
        <v>29</v>
      </c>
      <c r="D19" s="8">
        <v>3</v>
      </c>
      <c r="E19" s="6" t="s">
        <v>11</v>
      </c>
      <c r="F19" s="6">
        <v>2</v>
      </c>
      <c r="G19" s="6">
        <v>0</v>
      </c>
      <c r="H19" s="86">
        <f t="shared" si="0"/>
        <v>0</v>
      </c>
      <c r="I19" s="6">
        <v>0</v>
      </c>
      <c r="J19" s="6">
        <v>0</v>
      </c>
      <c r="K19" s="6">
        <v>0</v>
      </c>
    </row>
    <row r="20" spans="1:11" x14ac:dyDescent="0.2">
      <c r="A20" s="5">
        <v>39313</v>
      </c>
      <c r="B20" s="6">
        <v>1</v>
      </c>
      <c r="C20" s="8" t="s">
        <v>30</v>
      </c>
      <c r="D20" s="8">
        <v>4</v>
      </c>
      <c r="E20" s="6" t="s">
        <v>12</v>
      </c>
      <c r="F20" s="6">
        <v>5</v>
      </c>
      <c r="G20" s="6">
        <v>0</v>
      </c>
      <c r="H20" s="86">
        <f t="shared" si="0"/>
        <v>0</v>
      </c>
      <c r="I20" s="6">
        <v>0</v>
      </c>
      <c r="J20" s="6">
        <v>0</v>
      </c>
      <c r="K20" s="6">
        <v>0</v>
      </c>
    </row>
    <row r="21" spans="1:11" x14ac:dyDescent="0.2">
      <c r="A21" s="5">
        <v>39321</v>
      </c>
      <c r="B21" s="6">
        <v>2</v>
      </c>
      <c r="C21" s="8" t="s">
        <v>30</v>
      </c>
      <c r="D21" s="8">
        <v>4</v>
      </c>
      <c r="E21" s="6" t="s">
        <v>12</v>
      </c>
      <c r="F21" s="6">
        <v>5</v>
      </c>
      <c r="G21" s="6">
        <v>0</v>
      </c>
      <c r="H21" s="86">
        <f t="shared" si="0"/>
        <v>0</v>
      </c>
      <c r="I21" s="6">
        <v>2</v>
      </c>
      <c r="J21" s="6">
        <v>1</v>
      </c>
      <c r="K21" s="6">
        <v>0</v>
      </c>
    </row>
    <row r="22" spans="1:11" x14ac:dyDescent="0.2">
      <c r="A22" s="5">
        <v>39327</v>
      </c>
      <c r="B22" s="6">
        <v>3</v>
      </c>
      <c r="C22" s="8" t="s">
        <v>30</v>
      </c>
      <c r="D22" s="8">
        <v>4</v>
      </c>
      <c r="E22" s="6" t="s">
        <v>12</v>
      </c>
      <c r="F22" s="6">
        <v>5</v>
      </c>
      <c r="G22" s="6">
        <v>2</v>
      </c>
      <c r="H22" s="86">
        <f t="shared" si="0"/>
        <v>0.4</v>
      </c>
      <c r="I22" s="6">
        <v>28</v>
      </c>
      <c r="J22" s="6">
        <v>0</v>
      </c>
      <c r="K22" s="6">
        <v>0</v>
      </c>
    </row>
    <row r="23" spans="1:11" x14ac:dyDescent="0.2">
      <c r="A23" s="5">
        <v>39334</v>
      </c>
      <c r="B23" s="6">
        <v>4</v>
      </c>
      <c r="C23" s="8" t="s">
        <v>30</v>
      </c>
      <c r="D23" s="8">
        <v>4</v>
      </c>
      <c r="E23" s="6" t="s">
        <v>12</v>
      </c>
      <c r="F23" s="6">
        <v>5</v>
      </c>
      <c r="G23" s="6">
        <v>25</v>
      </c>
      <c r="H23" s="86">
        <f t="shared" si="0"/>
        <v>5</v>
      </c>
      <c r="I23" s="6">
        <v>37</v>
      </c>
      <c r="J23" s="6">
        <v>0</v>
      </c>
      <c r="K23" s="6">
        <v>2</v>
      </c>
    </row>
    <row r="24" spans="1:11" x14ac:dyDescent="0.2">
      <c r="A24" s="5">
        <v>39341</v>
      </c>
      <c r="B24" s="6">
        <v>5</v>
      </c>
      <c r="C24" s="8" t="s">
        <v>30</v>
      </c>
      <c r="D24" s="8">
        <v>4</v>
      </c>
      <c r="E24" s="6" t="s">
        <v>12</v>
      </c>
      <c r="F24" s="6">
        <v>5</v>
      </c>
      <c r="G24" s="6">
        <v>9</v>
      </c>
      <c r="H24" s="86">
        <f t="shared" si="0"/>
        <v>1.8</v>
      </c>
      <c r="I24" s="6">
        <v>14</v>
      </c>
      <c r="J24" s="6">
        <v>4</v>
      </c>
      <c r="K24" s="6">
        <v>11</v>
      </c>
    </row>
    <row r="25" spans="1:11" x14ac:dyDescent="0.2">
      <c r="A25" s="5">
        <v>39348</v>
      </c>
      <c r="B25" s="6">
        <v>6</v>
      </c>
      <c r="C25" s="8" t="s">
        <v>30</v>
      </c>
      <c r="D25" s="8">
        <v>4</v>
      </c>
      <c r="E25" s="6" t="s">
        <v>12</v>
      </c>
      <c r="F25" s="6">
        <v>5</v>
      </c>
      <c r="G25" s="6">
        <v>0</v>
      </c>
      <c r="H25" s="86">
        <f t="shared" si="0"/>
        <v>0</v>
      </c>
      <c r="I25" s="6">
        <v>4</v>
      </c>
      <c r="J25" s="6">
        <v>2</v>
      </c>
      <c r="K25" s="6">
        <v>5</v>
      </c>
    </row>
    <row r="26" spans="1:11" x14ac:dyDescent="0.2">
      <c r="A26" s="5">
        <v>39354</v>
      </c>
      <c r="B26" s="6">
        <v>7</v>
      </c>
      <c r="C26" s="8" t="s">
        <v>30</v>
      </c>
      <c r="D26" s="8">
        <v>4</v>
      </c>
      <c r="E26" s="6" t="s">
        <v>12</v>
      </c>
      <c r="F26" s="6">
        <v>5</v>
      </c>
      <c r="G26" s="6">
        <v>0</v>
      </c>
      <c r="H26" s="86">
        <f t="shared" si="0"/>
        <v>0</v>
      </c>
      <c r="I26" s="6">
        <v>0</v>
      </c>
      <c r="J26" s="6">
        <v>0</v>
      </c>
      <c r="K26" s="6">
        <v>0</v>
      </c>
    </row>
    <row r="27" spans="1:11" x14ac:dyDescent="0.2">
      <c r="A27" s="5">
        <v>39321</v>
      </c>
      <c r="B27" s="6">
        <v>1</v>
      </c>
      <c r="C27" s="8" t="s">
        <v>74</v>
      </c>
      <c r="D27" s="52" t="s">
        <v>177</v>
      </c>
      <c r="E27" s="6" t="s">
        <v>75</v>
      </c>
      <c r="F27" s="6">
        <v>6</v>
      </c>
      <c r="G27" s="6">
        <v>0</v>
      </c>
      <c r="H27" s="86">
        <f t="shared" si="0"/>
        <v>0</v>
      </c>
      <c r="I27" s="6">
        <v>1</v>
      </c>
      <c r="J27" s="6">
        <v>1</v>
      </c>
      <c r="K27" s="6">
        <v>1</v>
      </c>
    </row>
    <row r="28" spans="1:11" x14ac:dyDescent="0.2">
      <c r="A28" s="5">
        <v>39327</v>
      </c>
      <c r="B28" s="6">
        <v>2</v>
      </c>
      <c r="C28" s="8" t="s">
        <v>74</v>
      </c>
      <c r="D28" s="52" t="s">
        <v>177</v>
      </c>
      <c r="E28" s="6" t="s">
        <v>75</v>
      </c>
      <c r="F28" s="6">
        <v>6</v>
      </c>
      <c r="G28" s="6">
        <v>4</v>
      </c>
      <c r="H28" s="86">
        <f t="shared" si="0"/>
        <v>0.66666666666666663</v>
      </c>
      <c r="I28" s="6">
        <v>2</v>
      </c>
      <c r="J28" s="6">
        <v>2</v>
      </c>
      <c r="K28" s="6">
        <v>0</v>
      </c>
    </row>
    <row r="29" spans="1:11" x14ac:dyDescent="0.2">
      <c r="A29" s="5">
        <v>39334</v>
      </c>
      <c r="B29" s="6">
        <v>3</v>
      </c>
      <c r="C29" s="8" t="s">
        <v>74</v>
      </c>
      <c r="D29" s="52" t="s">
        <v>177</v>
      </c>
      <c r="E29" s="6" t="s">
        <v>75</v>
      </c>
      <c r="F29" s="6">
        <v>6</v>
      </c>
      <c r="G29" s="6">
        <v>11</v>
      </c>
      <c r="H29" s="86">
        <f t="shared" si="0"/>
        <v>1.8333333333333333</v>
      </c>
      <c r="I29" s="6">
        <v>23</v>
      </c>
      <c r="J29" s="6">
        <v>4</v>
      </c>
      <c r="K29" s="6">
        <v>0</v>
      </c>
    </row>
    <row r="30" spans="1:11" x14ac:dyDescent="0.2">
      <c r="A30" s="5">
        <v>39341</v>
      </c>
      <c r="B30" s="6">
        <v>4</v>
      </c>
      <c r="C30" s="8" t="s">
        <v>74</v>
      </c>
      <c r="D30" s="52" t="s">
        <v>177</v>
      </c>
      <c r="E30" s="6" t="s">
        <v>75</v>
      </c>
      <c r="F30" s="6">
        <v>6</v>
      </c>
      <c r="G30" s="6">
        <v>10</v>
      </c>
      <c r="H30" s="86">
        <f t="shared" si="0"/>
        <v>1.6666666666666667</v>
      </c>
      <c r="I30" s="6">
        <v>27</v>
      </c>
      <c r="J30" s="6">
        <v>5</v>
      </c>
      <c r="K30" s="6">
        <v>8</v>
      </c>
    </row>
    <row r="31" spans="1:11" x14ac:dyDescent="0.2">
      <c r="A31" s="5">
        <v>39348</v>
      </c>
      <c r="B31" s="6">
        <v>5</v>
      </c>
      <c r="C31" s="8" t="s">
        <v>74</v>
      </c>
      <c r="D31" s="52" t="s">
        <v>177</v>
      </c>
      <c r="E31" s="6" t="s">
        <v>75</v>
      </c>
      <c r="F31" s="6">
        <v>6</v>
      </c>
      <c r="G31" s="6">
        <v>5</v>
      </c>
      <c r="H31" s="86">
        <f t="shared" si="0"/>
        <v>0.83333333333333337</v>
      </c>
      <c r="I31" s="6">
        <v>8</v>
      </c>
      <c r="J31" s="6">
        <v>3</v>
      </c>
      <c r="K31" s="6">
        <v>4</v>
      </c>
    </row>
    <row r="32" spans="1:11" x14ac:dyDescent="0.2">
      <c r="A32" s="5">
        <v>39354</v>
      </c>
      <c r="B32" s="6">
        <v>6</v>
      </c>
      <c r="C32" s="8" t="s">
        <v>74</v>
      </c>
      <c r="D32" s="52" t="s">
        <v>177</v>
      </c>
      <c r="E32" s="6" t="s">
        <v>75</v>
      </c>
      <c r="F32" s="6">
        <v>6</v>
      </c>
      <c r="G32" s="6">
        <v>3</v>
      </c>
      <c r="H32" s="86">
        <f t="shared" si="0"/>
        <v>0.5</v>
      </c>
      <c r="I32" s="6">
        <v>1</v>
      </c>
      <c r="J32" s="6">
        <v>0</v>
      </c>
      <c r="K32" s="6">
        <v>2</v>
      </c>
    </row>
    <row r="33" spans="1:11" x14ac:dyDescent="0.2">
      <c r="A33" s="5">
        <v>39321</v>
      </c>
      <c r="B33" s="6">
        <v>1</v>
      </c>
      <c r="C33" s="8" t="s">
        <v>33</v>
      </c>
      <c r="D33" s="8">
        <v>7</v>
      </c>
      <c r="E33" s="6" t="s">
        <v>15</v>
      </c>
      <c r="F33" s="6">
        <v>3</v>
      </c>
      <c r="G33" s="6">
        <v>1</v>
      </c>
      <c r="H33" s="86">
        <f t="shared" si="0"/>
        <v>0.33333333333333331</v>
      </c>
      <c r="I33" s="6">
        <v>33</v>
      </c>
      <c r="J33" s="6">
        <v>0</v>
      </c>
      <c r="K33" s="6">
        <v>0</v>
      </c>
    </row>
    <row r="34" spans="1:11" x14ac:dyDescent="0.2">
      <c r="A34" s="5">
        <v>39327</v>
      </c>
      <c r="B34" s="6">
        <v>2</v>
      </c>
      <c r="C34" s="8" t="s">
        <v>33</v>
      </c>
      <c r="D34" s="8">
        <v>7</v>
      </c>
      <c r="E34" s="6" t="s">
        <v>15</v>
      </c>
      <c r="F34" s="6">
        <v>3</v>
      </c>
      <c r="G34" s="6">
        <v>0</v>
      </c>
      <c r="H34" s="86">
        <f t="shared" si="0"/>
        <v>0</v>
      </c>
      <c r="I34" s="6">
        <v>31</v>
      </c>
      <c r="J34" s="6">
        <v>0</v>
      </c>
      <c r="K34" s="6">
        <v>0</v>
      </c>
    </row>
    <row r="35" spans="1:11" x14ac:dyDescent="0.2">
      <c r="A35" s="5">
        <v>39334</v>
      </c>
      <c r="B35" s="6">
        <v>3</v>
      </c>
      <c r="C35" s="8" t="s">
        <v>33</v>
      </c>
      <c r="D35" s="8">
        <v>7</v>
      </c>
      <c r="E35" s="6" t="s">
        <v>15</v>
      </c>
      <c r="F35" s="6">
        <v>3</v>
      </c>
      <c r="G35" s="6">
        <v>10</v>
      </c>
      <c r="H35" s="86">
        <f t="shared" si="0"/>
        <v>3.3333333333333335</v>
      </c>
      <c r="I35" s="6">
        <v>24</v>
      </c>
      <c r="J35" s="6">
        <v>1</v>
      </c>
      <c r="K35" s="6">
        <v>0</v>
      </c>
    </row>
    <row r="36" spans="1:11" x14ac:dyDescent="0.2">
      <c r="A36" s="5">
        <v>39341</v>
      </c>
      <c r="B36" s="6">
        <v>4</v>
      </c>
      <c r="C36" s="8" t="s">
        <v>33</v>
      </c>
      <c r="D36" s="8">
        <v>7</v>
      </c>
      <c r="E36" s="6" t="s">
        <v>15</v>
      </c>
      <c r="F36" s="6">
        <v>3</v>
      </c>
      <c r="G36" s="6">
        <v>5</v>
      </c>
      <c r="H36" s="86">
        <f t="shared" si="0"/>
        <v>1.6666666666666667</v>
      </c>
      <c r="I36" s="6">
        <v>22</v>
      </c>
      <c r="J36" s="6">
        <v>4</v>
      </c>
      <c r="K36" s="6">
        <v>1</v>
      </c>
    </row>
    <row r="37" spans="1:11" x14ac:dyDescent="0.2">
      <c r="A37" s="5">
        <v>39348</v>
      </c>
      <c r="B37" s="6">
        <v>5</v>
      </c>
      <c r="C37" s="8" t="s">
        <v>33</v>
      </c>
      <c r="D37" s="8">
        <v>7</v>
      </c>
      <c r="E37" s="6" t="s">
        <v>15</v>
      </c>
      <c r="F37" s="6">
        <v>3</v>
      </c>
      <c r="G37" s="6">
        <v>3</v>
      </c>
      <c r="H37" s="86">
        <f t="shared" si="0"/>
        <v>1</v>
      </c>
      <c r="I37" s="6">
        <v>2</v>
      </c>
      <c r="J37" s="6">
        <v>1</v>
      </c>
      <c r="K37" s="6">
        <v>5</v>
      </c>
    </row>
    <row r="38" spans="1:11" x14ac:dyDescent="0.2">
      <c r="A38" s="5">
        <v>39354</v>
      </c>
      <c r="B38" s="6">
        <v>6</v>
      </c>
      <c r="C38" s="8" t="s">
        <v>33</v>
      </c>
      <c r="D38" s="8">
        <v>7</v>
      </c>
      <c r="E38" s="6" t="s">
        <v>15</v>
      </c>
      <c r="F38" s="6">
        <v>3</v>
      </c>
      <c r="G38" s="6">
        <v>1</v>
      </c>
      <c r="H38" s="86">
        <f t="shared" si="0"/>
        <v>0.33333333333333331</v>
      </c>
      <c r="I38" s="6">
        <v>0</v>
      </c>
      <c r="J38" s="6">
        <v>1</v>
      </c>
      <c r="K38" s="6">
        <v>2</v>
      </c>
    </row>
    <row r="39" spans="1:11" x14ac:dyDescent="0.2">
      <c r="A39" s="5">
        <v>39361</v>
      </c>
      <c r="B39" s="6">
        <v>7</v>
      </c>
      <c r="C39" s="8" t="s">
        <v>33</v>
      </c>
      <c r="D39" s="8">
        <v>7</v>
      </c>
      <c r="E39" s="6" t="s">
        <v>15</v>
      </c>
      <c r="F39" s="6">
        <v>3</v>
      </c>
      <c r="G39" s="6">
        <v>0</v>
      </c>
      <c r="H39" s="86">
        <f t="shared" si="0"/>
        <v>0</v>
      </c>
      <c r="I39" s="6">
        <v>0</v>
      </c>
      <c r="J39" s="6">
        <v>0</v>
      </c>
      <c r="K39" s="6">
        <v>1</v>
      </c>
    </row>
    <row r="40" spans="1:11" x14ac:dyDescent="0.2">
      <c r="A40" s="5">
        <v>39321</v>
      </c>
      <c r="B40" s="6">
        <v>1</v>
      </c>
      <c r="C40" s="8" t="s">
        <v>34</v>
      </c>
      <c r="D40" s="8">
        <v>8</v>
      </c>
      <c r="E40" s="6" t="s">
        <v>16</v>
      </c>
      <c r="F40" s="6">
        <v>3</v>
      </c>
      <c r="G40" s="6">
        <v>0</v>
      </c>
      <c r="H40" s="86">
        <f t="shared" si="0"/>
        <v>0</v>
      </c>
      <c r="I40" s="6">
        <v>16</v>
      </c>
      <c r="J40" s="6">
        <v>0</v>
      </c>
      <c r="K40" s="6">
        <v>0</v>
      </c>
    </row>
    <row r="41" spans="1:11" x14ac:dyDescent="0.2">
      <c r="A41" s="5">
        <v>39327</v>
      </c>
      <c r="B41" s="6">
        <v>2</v>
      </c>
      <c r="C41" s="8" t="s">
        <v>34</v>
      </c>
      <c r="D41" s="8">
        <v>8</v>
      </c>
      <c r="E41" s="6" t="s">
        <v>16</v>
      </c>
      <c r="F41" s="6">
        <v>3</v>
      </c>
      <c r="G41" s="6">
        <v>0</v>
      </c>
      <c r="H41" s="86">
        <f t="shared" si="0"/>
        <v>0</v>
      </c>
      <c r="I41" s="6">
        <v>37</v>
      </c>
      <c r="J41" s="6">
        <v>1</v>
      </c>
      <c r="K41" s="6">
        <v>0</v>
      </c>
    </row>
    <row r="42" spans="1:11" x14ac:dyDescent="0.2">
      <c r="A42" s="5">
        <v>39334</v>
      </c>
      <c r="B42" s="6">
        <v>3</v>
      </c>
      <c r="C42" s="8" t="s">
        <v>34</v>
      </c>
      <c r="D42" s="8">
        <v>8</v>
      </c>
      <c r="E42" s="6" t="s">
        <v>16</v>
      </c>
      <c r="F42" s="6">
        <v>3</v>
      </c>
      <c r="G42" s="6">
        <v>17</v>
      </c>
      <c r="H42" s="86">
        <f t="shared" si="0"/>
        <v>5.666666666666667</v>
      </c>
      <c r="I42" s="6">
        <v>33</v>
      </c>
      <c r="J42" s="6">
        <v>1</v>
      </c>
      <c r="K42" s="6">
        <v>0</v>
      </c>
    </row>
    <row r="43" spans="1:11" x14ac:dyDescent="0.2">
      <c r="A43" s="5">
        <v>39341</v>
      </c>
      <c r="B43" s="6">
        <v>4</v>
      </c>
      <c r="C43" s="8" t="s">
        <v>34</v>
      </c>
      <c r="D43" s="8">
        <v>8</v>
      </c>
      <c r="E43" s="6" t="s">
        <v>16</v>
      </c>
      <c r="F43" s="6">
        <v>3</v>
      </c>
      <c r="G43" s="6">
        <v>15</v>
      </c>
      <c r="H43" s="86">
        <f t="shared" si="0"/>
        <v>5</v>
      </c>
      <c r="I43" s="6">
        <v>64</v>
      </c>
      <c r="J43" s="6">
        <v>4</v>
      </c>
      <c r="K43" s="6">
        <v>4</v>
      </c>
    </row>
    <row r="44" spans="1:11" x14ac:dyDescent="0.2">
      <c r="A44" s="5">
        <v>39348</v>
      </c>
      <c r="B44" s="6">
        <v>5</v>
      </c>
      <c r="C44" s="8" t="s">
        <v>34</v>
      </c>
      <c r="D44" s="8">
        <v>8</v>
      </c>
      <c r="E44" s="6" t="s">
        <v>16</v>
      </c>
      <c r="F44" s="6">
        <v>3</v>
      </c>
      <c r="G44" s="6">
        <v>8</v>
      </c>
      <c r="H44" s="86">
        <f t="shared" si="0"/>
        <v>2.6666666666666665</v>
      </c>
      <c r="I44" s="6">
        <v>13</v>
      </c>
      <c r="J44" s="6">
        <v>5</v>
      </c>
      <c r="K44" s="6">
        <v>9</v>
      </c>
    </row>
    <row r="45" spans="1:11" x14ac:dyDescent="0.2">
      <c r="A45" s="5">
        <v>39354</v>
      </c>
      <c r="B45" s="6">
        <v>6</v>
      </c>
      <c r="C45" s="8" t="s">
        <v>34</v>
      </c>
      <c r="D45" s="8">
        <v>8</v>
      </c>
      <c r="E45" s="6" t="s">
        <v>16</v>
      </c>
      <c r="F45" s="6">
        <v>3</v>
      </c>
      <c r="G45" s="6">
        <v>3</v>
      </c>
      <c r="H45" s="86">
        <f t="shared" si="0"/>
        <v>1</v>
      </c>
      <c r="I45" s="6">
        <v>0</v>
      </c>
      <c r="J45" s="6">
        <v>4</v>
      </c>
      <c r="K45" s="6">
        <v>5</v>
      </c>
    </row>
    <row r="46" spans="1:11" x14ac:dyDescent="0.2">
      <c r="A46" s="5">
        <v>39361</v>
      </c>
      <c r="B46" s="6">
        <v>7</v>
      </c>
      <c r="C46" s="8" t="s">
        <v>34</v>
      </c>
      <c r="D46" s="8">
        <v>8</v>
      </c>
      <c r="E46" s="6" t="s">
        <v>16</v>
      </c>
      <c r="F46" s="6">
        <v>3</v>
      </c>
      <c r="G46" s="6">
        <v>1</v>
      </c>
      <c r="H46" s="86">
        <f t="shared" si="0"/>
        <v>0.33333333333333331</v>
      </c>
      <c r="I46" s="6">
        <v>0</v>
      </c>
      <c r="J46" s="6">
        <v>0</v>
      </c>
      <c r="K46" s="6">
        <v>0</v>
      </c>
    </row>
    <row r="47" spans="1:11" x14ac:dyDescent="0.2">
      <c r="A47" s="5">
        <v>39334</v>
      </c>
      <c r="B47" s="6">
        <v>1</v>
      </c>
      <c r="C47" s="8" t="s">
        <v>35</v>
      </c>
      <c r="D47" s="8">
        <v>9</v>
      </c>
      <c r="E47" s="6" t="s">
        <v>17</v>
      </c>
      <c r="F47" s="6">
        <v>4</v>
      </c>
      <c r="G47" s="6">
        <v>1</v>
      </c>
      <c r="H47" s="86">
        <f t="shared" si="0"/>
        <v>0.25</v>
      </c>
      <c r="I47" s="6">
        <v>6</v>
      </c>
      <c r="J47" s="6">
        <v>0</v>
      </c>
      <c r="K47" s="6">
        <v>0</v>
      </c>
    </row>
    <row r="48" spans="1:11" x14ac:dyDescent="0.2">
      <c r="A48" s="5">
        <v>39341</v>
      </c>
      <c r="B48" s="6">
        <v>2</v>
      </c>
      <c r="C48" s="8" t="s">
        <v>35</v>
      </c>
      <c r="D48" s="8">
        <v>9</v>
      </c>
      <c r="E48" s="6" t="s">
        <v>17</v>
      </c>
      <c r="F48" s="6">
        <v>4</v>
      </c>
      <c r="G48" s="6">
        <v>14</v>
      </c>
      <c r="H48" s="86">
        <f t="shared" si="0"/>
        <v>3.5</v>
      </c>
      <c r="I48" s="6">
        <v>16</v>
      </c>
      <c r="J48" s="6">
        <v>1</v>
      </c>
      <c r="K48" s="6">
        <v>4</v>
      </c>
    </row>
    <row r="49" spans="1:11" x14ac:dyDescent="0.2">
      <c r="A49" s="5">
        <v>39348</v>
      </c>
      <c r="B49" s="6">
        <v>3</v>
      </c>
      <c r="C49" s="8" t="s">
        <v>35</v>
      </c>
      <c r="D49" s="8">
        <v>9</v>
      </c>
      <c r="E49" s="6" t="s">
        <v>17</v>
      </c>
      <c r="F49" s="6">
        <v>4</v>
      </c>
      <c r="G49" s="6">
        <v>3</v>
      </c>
      <c r="H49" s="86">
        <f t="shared" si="0"/>
        <v>0.75</v>
      </c>
      <c r="I49" s="6">
        <v>2</v>
      </c>
      <c r="J49" s="6">
        <v>1</v>
      </c>
      <c r="K49" s="6">
        <v>8</v>
      </c>
    </row>
    <row r="50" spans="1:11" x14ac:dyDescent="0.2">
      <c r="A50" s="5">
        <v>39354</v>
      </c>
      <c r="B50" s="6">
        <v>4</v>
      </c>
      <c r="C50" s="8" t="s">
        <v>35</v>
      </c>
      <c r="D50" s="8">
        <v>9</v>
      </c>
      <c r="E50" s="6" t="s">
        <v>17</v>
      </c>
      <c r="F50" s="6">
        <v>4</v>
      </c>
      <c r="G50" s="6">
        <v>0</v>
      </c>
      <c r="H50" s="86">
        <f t="shared" si="0"/>
        <v>0</v>
      </c>
      <c r="I50" s="6">
        <v>0</v>
      </c>
      <c r="J50" s="6">
        <v>0</v>
      </c>
      <c r="K50" s="6">
        <v>0</v>
      </c>
    </row>
    <row r="51" spans="1:11" x14ac:dyDescent="0.2">
      <c r="A51" s="5">
        <v>39361</v>
      </c>
      <c r="B51" s="6">
        <v>5</v>
      </c>
      <c r="C51" s="8" t="s">
        <v>35</v>
      </c>
      <c r="D51" s="8">
        <v>9</v>
      </c>
      <c r="E51" s="6" t="s">
        <v>17</v>
      </c>
      <c r="F51" s="6">
        <v>4</v>
      </c>
      <c r="G51" s="6">
        <v>0</v>
      </c>
      <c r="H51" s="86">
        <f t="shared" si="0"/>
        <v>0</v>
      </c>
      <c r="I51" s="6">
        <v>0</v>
      </c>
      <c r="J51" s="6">
        <v>0</v>
      </c>
      <c r="K51" s="6">
        <v>0</v>
      </c>
    </row>
    <row r="52" spans="1:11" x14ac:dyDescent="0.2">
      <c r="A52" s="5">
        <v>39341</v>
      </c>
      <c r="B52" s="6">
        <v>1</v>
      </c>
      <c r="C52" s="8" t="s">
        <v>36</v>
      </c>
      <c r="D52" s="8">
        <v>10</v>
      </c>
      <c r="E52" s="6" t="s">
        <v>18</v>
      </c>
      <c r="F52" s="6">
        <v>5</v>
      </c>
      <c r="G52" s="6">
        <v>5</v>
      </c>
      <c r="H52" s="86">
        <f t="shared" si="0"/>
        <v>1</v>
      </c>
      <c r="I52" s="6">
        <v>11</v>
      </c>
      <c r="J52" s="6">
        <v>0</v>
      </c>
      <c r="K52" s="6">
        <v>0</v>
      </c>
    </row>
    <row r="53" spans="1:11" x14ac:dyDescent="0.2">
      <c r="A53" s="5">
        <v>39348</v>
      </c>
      <c r="B53" s="6">
        <v>2</v>
      </c>
      <c r="C53" s="8" t="s">
        <v>36</v>
      </c>
      <c r="D53" s="8">
        <v>10</v>
      </c>
      <c r="E53" s="6" t="s">
        <v>18</v>
      </c>
      <c r="F53" s="6">
        <v>5</v>
      </c>
      <c r="G53" s="6">
        <v>3</v>
      </c>
      <c r="H53" s="86">
        <f t="shared" si="0"/>
        <v>0.6</v>
      </c>
      <c r="I53" s="6">
        <v>2</v>
      </c>
      <c r="J53" s="6">
        <v>1</v>
      </c>
      <c r="K53" s="6">
        <v>5</v>
      </c>
    </row>
    <row r="54" spans="1:11" x14ac:dyDescent="0.2">
      <c r="A54" s="5">
        <v>39361</v>
      </c>
      <c r="B54" s="6">
        <v>4</v>
      </c>
      <c r="C54" s="8" t="s">
        <v>36</v>
      </c>
      <c r="D54" s="8">
        <v>10</v>
      </c>
      <c r="E54" s="6" t="s">
        <v>18</v>
      </c>
      <c r="F54" s="6">
        <v>5</v>
      </c>
      <c r="G54" s="6">
        <v>0</v>
      </c>
      <c r="H54" s="86">
        <f t="shared" si="0"/>
        <v>0</v>
      </c>
      <c r="I54" s="6">
        <v>0</v>
      </c>
      <c r="J54" s="6">
        <v>0</v>
      </c>
      <c r="K54" s="6">
        <v>0</v>
      </c>
    </row>
    <row r="55" spans="1:11" x14ac:dyDescent="0.2">
      <c r="A55" s="5">
        <v>39354</v>
      </c>
      <c r="B55" s="6">
        <v>6</v>
      </c>
      <c r="C55" s="8" t="s">
        <v>36</v>
      </c>
      <c r="D55" s="8">
        <v>10</v>
      </c>
      <c r="E55" s="6" t="s">
        <v>18</v>
      </c>
      <c r="F55" s="6">
        <v>5</v>
      </c>
      <c r="G55" s="6">
        <v>1</v>
      </c>
      <c r="H55" s="86">
        <f t="shared" si="0"/>
        <v>0.2</v>
      </c>
      <c r="I55" s="6">
        <v>0</v>
      </c>
      <c r="J55" s="6">
        <v>0</v>
      </c>
      <c r="K55" s="6">
        <v>0</v>
      </c>
    </row>
    <row r="56" spans="1:11" x14ac:dyDescent="0.2">
      <c r="A56" s="5">
        <v>39341</v>
      </c>
      <c r="B56" s="6">
        <v>1</v>
      </c>
      <c r="C56" s="8" t="s">
        <v>37</v>
      </c>
      <c r="D56" s="8">
        <v>11</v>
      </c>
      <c r="E56" s="6" t="s">
        <v>19</v>
      </c>
      <c r="F56" s="6">
        <v>4</v>
      </c>
      <c r="G56" s="6">
        <v>1</v>
      </c>
      <c r="H56" s="86">
        <f t="shared" si="0"/>
        <v>0.25</v>
      </c>
      <c r="I56" s="6">
        <v>5</v>
      </c>
      <c r="J56" s="6">
        <v>0</v>
      </c>
      <c r="K56" s="6">
        <v>0</v>
      </c>
    </row>
    <row r="57" spans="1:11" x14ac:dyDescent="0.2">
      <c r="A57" s="5">
        <v>39348</v>
      </c>
      <c r="B57" s="6">
        <v>2</v>
      </c>
      <c r="C57" s="8" t="s">
        <v>37</v>
      </c>
      <c r="D57" s="8">
        <v>11</v>
      </c>
      <c r="E57" s="6" t="s">
        <v>19</v>
      </c>
      <c r="F57" s="6">
        <v>4</v>
      </c>
      <c r="G57" s="6">
        <v>0</v>
      </c>
      <c r="H57" s="86">
        <f t="shared" si="0"/>
        <v>0</v>
      </c>
      <c r="I57" s="6">
        <v>0</v>
      </c>
      <c r="J57" s="6">
        <v>0</v>
      </c>
      <c r="K57" s="6">
        <v>1</v>
      </c>
    </row>
    <row r="58" spans="1:11" x14ac:dyDescent="0.2">
      <c r="A58" s="5">
        <v>39354</v>
      </c>
      <c r="B58" s="6">
        <v>6</v>
      </c>
      <c r="C58" s="8" t="s">
        <v>37</v>
      </c>
      <c r="D58" s="8">
        <v>11</v>
      </c>
      <c r="E58" s="6" t="s">
        <v>19</v>
      </c>
      <c r="F58" s="6">
        <v>4</v>
      </c>
      <c r="G58" s="6">
        <v>0</v>
      </c>
      <c r="H58" s="86">
        <f t="shared" si="0"/>
        <v>0</v>
      </c>
      <c r="I58" s="6">
        <v>0</v>
      </c>
      <c r="J58" s="6">
        <v>0</v>
      </c>
      <c r="K58" s="6">
        <v>0</v>
      </c>
    </row>
    <row r="59" spans="1:11" x14ac:dyDescent="0.2">
      <c r="A59" s="5">
        <v>39362</v>
      </c>
      <c r="B59" s="6">
        <v>3</v>
      </c>
      <c r="C59" s="8" t="s">
        <v>84</v>
      </c>
      <c r="D59" s="52" t="s">
        <v>181</v>
      </c>
      <c r="E59" s="6" t="s">
        <v>83</v>
      </c>
      <c r="F59" s="6">
        <v>7</v>
      </c>
      <c r="G59" s="6">
        <v>4</v>
      </c>
      <c r="H59" s="86">
        <f t="shared" si="0"/>
        <v>0.5714285714285714</v>
      </c>
      <c r="I59" s="6">
        <v>0</v>
      </c>
      <c r="J59" s="6">
        <v>0</v>
      </c>
      <c r="K59" s="6">
        <v>0</v>
      </c>
    </row>
    <row r="60" spans="1:11" x14ac:dyDescent="0.2">
      <c r="A60" s="5">
        <v>39348</v>
      </c>
      <c r="B60" s="6">
        <v>1</v>
      </c>
      <c r="C60" s="8" t="s">
        <v>38</v>
      </c>
      <c r="D60" s="8">
        <v>12</v>
      </c>
      <c r="E60" s="6" t="s">
        <v>20</v>
      </c>
      <c r="F60" s="6">
        <v>3</v>
      </c>
      <c r="G60" s="6">
        <v>1</v>
      </c>
      <c r="H60" s="86">
        <f t="shared" si="0"/>
        <v>0.33333333333333331</v>
      </c>
      <c r="I60" s="6">
        <v>0</v>
      </c>
      <c r="J60" s="6">
        <v>0</v>
      </c>
      <c r="K60" s="6">
        <v>0</v>
      </c>
    </row>
    <row r="61" spans="1:11" x14ac:dyDescent="0.2">
      <c r="A61" s="5">
        <v>39354</v>
      </c>
      <c r="B61" s="6">
        <v>2</v>
      </c>
      <c r="C61" s="8" t="s">
        <v>38</v>
      </c>
      <c r="D61" s="8">
        <v>12</v>
      </c>
      <c r="E61" s="6" t="s">
        <v>20</v>
      </c>
      <c r="F61" s="6">
        <v>3</v>
      </c>
      <c r="G61" s="6">
        <v>1</v>
      </c>
      <c r="H61" s="86">
        <f t="shared" si="0"/>
        <v>0.33333333333333331</v>
      </c>
      <c r="I61" s="6">
        <v>0</v>
      </c>
      <c r="J61" s="6">
        <v>0</v>
      </c>
      <c r="K61" s="6">
        <v>0</v>
      </c>
    </row>
    <row r="62" spans="1:11" ht="13.5" thickBot="1" x14ac:dyDescent="0.25">
      <c r="A62" s="5">
        <v>39362</v>
      </c>
      <c r="B62" s="6">
        <v>1</v>
      </c>
      <c r="C62" s="8" t="s">
        <v>39</v>
      </c>
      <c r="D62" s="8" t="s">
        <v>182</v>
      </c>
      <c r="E62" s="6" t="s">
        <v>80</v>
      </c>
      <c r="F62" s="80">
        <v>6</v>
      </c>
      <c r="G62" s="80">
        <v>1</v>
      </c>
      <c r="H62" s="87">
        <f t="shared" si="0"/>
        <v>0.16666666666666666</v>
      </c>
      <c r="I62" s="80">
        <v>0</v>
      </c>
      <c r="J62" s="80">
        <v>0</v>
      </c>
      <c r="K62" s="80">
        <v>0</v>
      </c>
    </row>
    <row r="63" spans="1:11" x14ac:dyDescent="0.2">
      <c r="F63" s="3">
        <f>SUM(F4:F62)</f>
        <v>249</v>
      </c>
      <c r="G63" s="3">
        <f>SUM(G4:G62)</f>
        <v>200</v>
      </c>
      <c r="H63" s="88">
        <f t="shared" si="0"/>
        <v>0.80321285140562249</v>
      </c>
      <c r="I63" s="3">
        <f t="shared" ref="I63:K63" si="1">SUM(I4:I62)</f>
        <v>549</v>
      </c>
      <c r="J63" s="3">
        <f t="shared" si="1"/>
        <v>47</v>
      </c>
      <c r="K63" s="3">
        <f t="shared" si="1"/>
        <v>82</v>
      </c>
    </row>
  </sheetData>
  <sortState xmlns:xlrd2="http://schemas.microsoft.com/office/spreadsheetml/2017/richdata2" ref="A5:K63">
    <sortCondition ref="D5:D63"/>
  </sortState>
  <phoneticPr fontId="0" type="noConversion"/>
  <pageMargins left="0.75" right="0.75" top="1" bottom="1" header="0.5" footer="0.5"/>
  <pageSetup orientation="portrait" r:id="rId1"/>
  <headerFooter alignWithMargins="0"/>
  <ignoredErrors>
    <ignoredError sqref="H63" formula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53"/>
  <sheetViews>
    <sheetView workbookViewId="0">
      <pane ySplit="3" topLeftCell="A20" activePane="bottomLeft" state="frozen"/>
      <selection pane="bottomLeft" activeCell="G38" sqref="G38:G48"/>
    </sheetView>
  </sheetViews>
  <sheetFormatPr defaultRowHeight="12.75" x14ac:dyDescent="0.2"/>
  <cols>
    <col min="5" max="5" width="29.140625" bestFit="1" customWidth="1"/>
  </cols>
  <sheetData>
    <row r="1" spans="1:11" x14ac:dyDescent="0.2">
      <c r="A1" s="2"/>
      <c r="B1" s="2"/>
      <c r="C1" s="2" t="s">
        <v>25</v>
      </c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1" x14ac:dyDescent="0.2">
      <c r="A2" s="2" t="s">
        <v>0</v>
      </c>
      <c r="B2" s="2" t="s">
        <v>1</v>
      </c>
      <c r="C2" s="2" t="s">
        <v>26</v>
      </c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1" ht="13.5" thickBot="1" x14ac:dyDescent="0.25">
      <c r="A3" s="1"/>
      <c r="I3" s="1"/>
      <c r="J3" s="4" t="s">
        <v>6</v>
      </c>
      <c r="K3" s="4" t="s">
        <v>7</v>
      </c>
    </row>
    <row r="4" spans="1:11" x14ac:dyDescent="0.2">
      <c r="A4" s="5">
        <v>39322</v>
      </c>
      <c r="B4" s="6">
        <v>1</v>
      </c>
      <c r="C4" s="8" t="s">
        <v>99</v>
      </c>
      <c r="D4" s="8" t="s">
        <v>185</v>
      </c>
      <c r="E4" s="6" t="s">
        <v>98</v>
      </c>
      <c r="F4" s="6">
        <v>9</v>
      </c>
      <c r="G4" s="6">
        <v>0</v>
      </c>
      <c r="H4" s="86">
        <f>G4/F4</f>
        <v>0</v>
      </c>
      <c r="I4" s="6">
        <v>0</v>
      </c>
      <c r="J4" s="6">
        <v>0</v>
      </c>
      <c r="K4" s="6">
        <v>0</v>
      </c>
    </row>
    <row r="5" spans="1:11" x14ac:dyDescent="0.2">
      <c r="A5" s="5">
        <v>39330</v>
      </c>
      <c r="B5" s="6">
        <v>2</v>
      </c>
      <c r="C5" s="8" t="s">
        <v>99</v>
      </c>
      <c r="D5" s="8" t="s">
        <v>185</v>
      </c>
      <c r="E5" s="6" t="s">
        <v>98</v>
      </c>
      <c r="F5" s="6">
        <v>9</v>
      </c>
      <c r="G5" s="6">
        <v>0</v>
      </c>
      <c r="H5" s="86">
        <f t="shared" ref="H5:H53" si="0">G5/F5</f>
        <v>0</v>
      </c>
      <c r="I5" s="6">
        <v>0</v>
      </c>
      <c r="J5" s="6">
        <v>0</v>
      </c>
      <c r="K5" s="6">
        <v>0</v>
      </c>
    </row>
    <row r="6" spans="1:11" x14ac:dyDescent="0.2">
      <c r="A6" s="5">
        <v>39336</v>
      </c>
      <c r="B6" s="6">
        <v>3</v>
      </c>
      <c r="C6" s="8" t="s">
        <v>99</v>
      </c>
      <c r="D6" s="8" t="s">
        <v>185</v>
      </c>
      <c r="E6" s="6" t="s">
        <v>98</v>
      </c>
      <c r="F6" s="6">
        <v>9</v>
      </c>
      <c r="G6" s="6">
        <v>0</v>
      </c>
      <c r="H6" s="86">
        <f t="shared" si="0"/>
        <v>0</v>
      </c>
      <c r="I6" s="6">
        <v>0</v>
      </c>
      <c r="J6" s="6">
        <v>0</v>
      </c>
      <c r="K6" s="6">
        <v>0</v>
      </c>
    </row>
    <row r="7" spans="1:11" x14ac:dyDescent="0.2">
      <c r="A7" s="5">
        <v>39343</v>
      </c>
      <c r="B7" s="6">
        <v>4</v>
      </c>
      <c r="C7" s="8" t="s">
        <v>99</v>
      </c>
      <c r="D7" s="8" t="s">
        <v>185</v>
      </c>
      <c r="E7" s="6" t="s">
        <v>98</v>
      </c>
      <c r="F7" s="6">
        <v>9</v>
      </c>
      <c r="G7" s="6">
        <v>0</v>
      </c>
      <c r="H7" s="86">
        <f t="shared" si="0"/>
        <v>0</v>
      </c>
      <c r="I7" s="6">
        <v>0</v>
      </c>
      <c r="J7" s="6">
        <v>0</v>
      </c>
      <c r="K7" s="6">
        <v>0</v>
      </c>
    </row>
    <row r="8" spans="1:11" x14ac:dyDescent="0.2">
      <c r="A8" s="5">
        <v>39322</v>
      </c>
      <c r="B8" s="6">
        <v>1</v>
      </c>
      <c r="C8" s="8" t="s">
        <v>28</v>
      </c>
      <c r="D8" s="8">
        <v>2</v>
      </c>
      <c r="E8" s="6" t="s">
        <v>10</v>
      </c>
      <c r="F8" s="6">
        <v>3</v>
      </c>
      <c r="G8" s="6">
        <v>0</v>
      </c>
      <c r="H8" s="86">
        <f t="shared" si="0"/>
        <v>0</v>
      </c>
      <c r="I8" s="6">
        <v>1</v>
      </c>
      <c r="J8" s="6">
        <v>0</v>
      </c>
      <c r="K8" s="6">
        <v>0</v>
      </c>
    </row>
    <row r="9" spans="1:11" x14ac:dyDescent="0.2">
      <c r="A9" s="5">
        <v>39330</v>
      </c>
      <c r="B9" s="6">
        <v>2</v>
      </c>
      <c r="C9" s="8" t="s">
        <v>28</v>
      </c>
      <c r="D9" s="8">
        <v>2</v>
      </c>
      <c r="E9" s="6" t="s">
        <v>10</v>
      </c>
      <c r="F9" s="6">
        <v>3</v>
      </c>
      <c r="G9" s="6">
        <v>3</v>
      </c>
      <c r="H9" s="86">
        <f t="shared" si="0"/>
        <v>1</v>
      </c>
      <c r="I9" s="6">
        <v>7</v>
      </c>
      <c r="J9" s="6">
        <v>0</v>
      </c>
      <c r="K9" s="6">
        <v>0</v>
      </c>
    </row>
    <row r="10" spans="1:11" x14ac:dyDescent="0.2">
      <c r="A10" s="5">
        <v>39336</v>
      </c>
      <c r="B10" s="6">
        <v>3</v>
      </c>
      <c r="C10" s="8" t="s">
        <v>28</v>
      </c>
      <c r="D10" s="8">
        <v>2</v>
      </c>
      <c r="E10" s="6" t="s">
        <v>10</v>
      </c>
      <c r="F10" s="6">
        <v>3</v>
      </c>
      <c r="G10" s="6">
        <v>0</v>
      </c>
      <c r="H10" s="86">
        <f t="shared" si="0"/>
        <v>0</v>
      </c>
      <c r="I10" s="6">
        <v>4</v>
      </c>
      <c r="J10" s="6">
        <v>0</v>
      </c>
      <c r="K10" s="6">
        <v>0</v>
      </c>
    </row>
    <row r="11" spans="1:11" x14ac:dyDescent="0.2">
      <c r="A11" s="5">
        <v>39343</v>
      </c>
      <c r="B11" s="6">
        <v>4</v>
      </c>
      <c r="C11" s="8" t="s">
        <v>28</v>
      </c>
      <c r="D11" s="8">
        <v>2</v>
      </c>
      <c r="E11" s="6" t="s">
        <v>10</v>
      </c>
      <c r="F11" s="6">
        <v>3</v>
      </c>
      <c r="G11" s="6">
        <v>0</v>
      </c>
      <c r="H11" s="86">
        <f t="shared" si="0"/>
        <v>0</v>
      </c>
      <c r="I11" s="6">
        <v>1</v>
      </c>
      <c r="J11" s="6">
        <v>0</v>
      </c>
      <c r="K11" s="6">
        <v>0</v>
      </c>
    </row>
    <row r="12" spans="1:11" x14ac:dyDescent="0.2">
      <c r="A12" s="5">
        <v>39322</v>
      </c>
      <c r="B12" s="6">
        <v>1</v>
      </c>
      <c r="C12" s="8" t="s">
        <v>29</v>
      </c>
      <c r="D12" s="8">
        <v>3</v>
      </c>
      <c r="E12" s="6" t="s">
        <v>11</v>
      </c>
      <c r="F12" s="6">
        <v>2</v>
      </c>
      <c r="G12" s="6">
        <v>0</v>
      </c>
      <c r="H12" s="86">
        <f t="shared" si="0"/>
        <v>0</v>
      </c>
      <c r="I12" s="6">
        <v>3</v>
      </c>
      <c r="J12" s="6">
        <v>0</v>
      </c>
      <c r="K12" s="6">
        <v>0</v>
      </c>
    </row>
    <row r="13" spans="1:11" x14ac:dyDescent="0.2">
      <c r="A13" s="5">
        <v>39330</v>
      </c>
      <c r="B13" s="6">
        <v>2</v>
      </c>
      <c r="C13" s="8" t="s">
        <v>29</v>
      </c>
      <c r="D13" s="8">
        <v>3</v>
      </c>
      <c r="E13" s="6" t="s">
        <v>11</v>
      </c>
      <c r="F13" s="6">
        <v>2</v>
      </c>
      <c r="G13" s="6">
        <v>2</v>
      </c>
      <c r="H13" s="86">
        <f t="shared" si="0"/>
        <v>1</v>
      </c>
      <c r="I13" s="6">
        <v>6</v>
      </c>
      <c r="J13" s="6">
        <v>0</v>
      </c>
      <c r="K13" s="6">
        <v>0</v>
      </c>
    </row>
    <row r="14" spans="1:11" x14ac:dyDescent="0.2">
      <c r="A14" s="5">
        <v>39336</v>
      </c>
      <c r="B14" s="6">
        <v>3</v>
      </c>
      <c r="C14" s="8" t="s">
        <v>29</v>
      </c>
      <c r="D14" s="8">
        <v>3</v>
      </c>
      <c r="E14" s="6" t="s">
        <v>11</v>
      </c>
      <c r="F14" s="6">
        <v>2</v>
      </c>
      <c r="G14" s="6">
        <v>3</v>
      </c>
      <c r="H14" s="86">
        <f t="shared" si="0"/>
        <v>1.5</v>
      </c>
      <c r="I14" s="6">
        <v>8</v>
      </c>
      <c r="J14" s="6">
        <v>1</v>
      </c>
      <c r="K14" s="6">
        <v>0</v>
      </c>
    </row>
    <row r="15" spans="1:11" x14ac:dyDescent="0.2">
      <c r="A15" s="5">
        <v>39343</v>
      </c>
      <c r="B15" s="6">
        <v>4</v>
      </c>
      <c r="C15" s="8" t="s">
        <v>29</v>
      </c>
      <c r="D15" s="8">
        <v>3</v>
      </c>
      <c r="E15" s="6" t="s">
        <v>11</v>
      </c>
      <c r="F15" s="6">
        <v>2</v>
      </c>
      <c r="G15" s="6">
        <v>2</v>
      </c>
      <c r="H15" s="86">
        <f t="shared" si="0"/>
        <v>1</v>
      </c>
      <c r="I15" s="6">
        <v>3</v>
      </c>
      <c r="J15" s="6">
        <v>0</v>
      </c>
      <c r="K15" s="6">
        <v>0</v>
      </c>
    </row>
    <row r="16" spans="1:11" x14ac:dyDescent="0.2">
      <c r="A16" s="5">
        <v>39350</v>
      </c>
      <c r="B16" s="6">
        <v>5</v>
      </c>
      <c r="C16" s="8" t="s">
        <v>29</v>
      </c>
      <c r="D16" s="8">
        <v>3</v>
      </c>
      <c r="E16" s="6" t="s">
        <v>11</v>
      </c>
      <c r="F16" s="6">
        <v>2</v>
      </c>
      <c r="G16" s="6">
        <v>1</v>
      </c>
      <c r="H16" s="86">
        <f t="shared" si="0"/>
        <v>0.5</v>
      </c>
      <c r="I16" s="6">
        <v>1</v>
      </c>
      <c r="J16" s="6">
        <v>0</v>
      </c>
      <c r="K16" s="6">
        <v>1</v>
      </c>
    </row>
    <row r="17" spans="1:11" x14ac:dyDescent="0.2">
      <c r="A17" s="5">
        <v>39322</v>
      </c>
      <c r="B17" s="6">
        <v>1</v>
      </c>
      <c r="C17" s="8" t="s">
        <v>30</v>
      </c>
      <c r="D17" s="8">
        <v>4</v>
      </c>
      <c r="E17" s="6" t="s">
        <v>12</v>
      </c>
      <c r="F17" s="6">
        <v>5</v>
      </c>
      <c r="G17" s="6">
        <v>0</v>
      </c>
      <c r="H17" s="86">
        <f t="shared" si="0"/>
        <v>0</v>
      </c>
      <c r="I17" s="6">
        <v>2</v>
      </c>
      <c r="J17" s="6">
        <v>0</v>
      </c>
      <c r="K17" s="6">
        <v>0</v>
      </c>
    </row>
    <row r="18" spans="1:11" x14ac:dyDescent="0.2">
      <c r="A18" s="5">
        <v>39330</v>
      </c>
      <c r="B18" s="6">
        <v>2</v>
      </c>
      <c r="C18" s="8" t="s">
        <v>30</v>
      </c>
      <c r="D18" s="8">
        <v>4</v>
      </c>
      <c r="E18" s="6" t="s">
        <v>12</v>
      </c>
      <c r="F18" s="6">
        <v>5</v>
      </c>
      <c r="G18" s="6">
        <v>1</v>
      </c>
      <c r="H18" s="86">
        <f t="shared" si="0"/>
        <v>0.2</v>
      </c>
      <c r="I18" s="6">
        <v>4</v>
      </c>
      <c r="J18" s="6">
        <v>0</v>
      </c>
      <c r="K18" s="6">
        <v>1</v>
      </c>
    </row>
    <row r="19" spans="1:11" x14ac:dyDescent="0.2">
      <c r="A19" s="5">
        <v>39336</v>
      </c>
      <c r="B19" s="6">
        <v>3</v>
      </c>
      <c r="C19" s="8" t="s">
        <v>30</v>
      </c>
      <c r="D19" s="8">
        <v>4</v>
      </c>
      <c r="E19" s="6" t="s">
        <v>12</v>
      </c>
      <c r="F19" s="6">
        <v>5</v>
      </c>
      <c r="G19" s="6">
        <v>3</v>
      </c>
      <c r="H19" s="86">
        <f t="shared" si="0"/>
        <v>0.6</v>
      </c>
      <c r="I19" s="6">
        <v>13</v>
      </c>
      <c r="J19" s="6">
        <v>0</v>
      </c>
      <c r="K19" s="6">
        <v>0</v>
      </c>
    </row>
    <row r="20" spans="1:11" x14ac:dyDescent="0.2">
      <c r="A20" s="5">
        <v>39343</v>
      </c>
      <c r="B20" s="6">
        <v>4</v>
      </c>
      <c r="C20" s="8" t="s">
        <v>30</v>
      </c>
      <c r="D20" s="8">
        <v>4</v>
      </c>
      <c r="E20" s="6" t="s">
        <v>12</v>
      </c>
      <c r="F20" s="6">
        <v>5</v>
      </c>
      <c r="G20" s="6">
        <v>3</v>
      </c>
      <c r="H20" s="86">
        <f t="shared" si="0"/>
        <v>0.6</v>
      </c>
      <c r="I20" s="6">
        <v>11</v>
      </c>
      <c r="J20" s="6">
        <v>2</v>
      </c>
      <c r="K20" s="6">
        <v>0</v>
      </c>
    </row>
    <row r="21" spans="1:11" x14ac:dyDescent="0.2">
      <c r="A21" s="5">
        <v>39350</v>
      </c>
      <c r="B21" s="6">
        <v>5</v>
      </c>
      <c r="C21" s="8" t="s">
        <v>30</v>
      </c>
      <c r="D21" s="8">
        <v>4</v>
      </c>
      <c r="E21" s="6" t="s">
        <v>12</v>
      </c>
      <c r="F21" s="6">
        <v>5</v>
      </c>
      <c r="G21" s="6">
        <v>2</v>
      </c>
      <c r="H21" s="86">
        <f t="shared" si="0"/>
        <v>0.4</v>
      </c>
      <c r="I21" s="6">
        <v>5</v>
      </c>
      <c r="J21" s="6">
        <v>1</v>
      </c>
      <c r="K21" s="6">
        <v>4</v>
      </c>
    </row>
    <row r="22" spans="1:11" x14ac:dyDescent="0.2">
      <c r="A22" s="5">
        <v>39322</v>
      </c>
      <c r="B22" s="6">
        <v>1</v>
      </c>
      <c r="C22" s="8" t="s">
        <v>74</v>
      </c>
      <c r="D22" s="52" t="s">
        <v>177</v>
      </c>
      <c r="E22" s="6" t="s">
        <v>75</v>
      </c>
      <c r="F22" s="6">
        <v>6</v>
      </c>
      <c r="G22" s="6">
        <v>0</v>
      </c>
      <c r="H22" s="86">
        <f t="shared" si="0"/>
        <v>0</v>
      </c>
      <c r="I22" s="6">
        <v>0</v>
      </c>
      <c r="J22" s="6">
        <v>0</v>
      </c>
      <c r="K22" s="6">
        <v>0</v>
      </c>
    </row>
    <row r="23" spans="1:11" x14ac:dyDescent="0.2">
      <c r="A23" s="5">
        <v>39330</v>
      </c>
      <c r="B23" s="6">
        <v>2</v>
      </c>
      <c r="C23" s="8" t="s">
        <v>74</v>
      </c>
      <c r="D23" s="52" t="s">
        <v>177</v>
      </c>
      <c r="E23" s="6" t="s">
        <v>75</v>
      </c>
      <c r="F23" s="6">
        <v>6</v>
      </c>
      <c r="G23" s="6">
        <v>1</v>
      </c>
      <c r="H23" s="86">
        <f t="shared" si="0"/>
        <v>0.16666666666666666</v>
      </c>
      <c r="I23" s="6">
        <v>4</v>
      </c>
      <c r="J23" s="6">
        <v>0</v>
      </c>
      <c r="K23" s="6">
        <v>0</v>
      </c>
    </row>
    <row r="24" spans="1:11" x14ac:dyDescent="0.2">
      <c r="A24" s="5">
        <v>39336</v>
      </c>
      <c r="B24" s="6">
        <v>3</v>
      </c>
      <c r="C24" s="8" t="s">
        <v>74</v>
      </c>
      <c r="D24" s="52" t="s">
        <v>177</v>
      </c>
      <c r="E24" s="6" t="s">
        <v>75</v>
      </c>
      <c r="F24" s="6">
        <v>6</v>
      </c>
      <c r="G24" s="6">
        <v>2</v>
      </c>
      <c r="H24" s="86">
        <f t="shared" si="0"/>
        <v>0.33333333333333331</v>
      </c>
      <c r="I24" s="6">
        <v>6</v>
      </c>
      <c r="J24" s="6">
        <v>0</v>
      </c>
      <c r="K24" s="6">
        <v>1</v>
      </c>
    </row>
    <row r="25" spans="1:11" x14ac:dyDescent="0.2">
      <c r="A25" s="5">
        <v>39343</v>
      </c>
      <c r="B25" s="6">
        <v>4</v>
      </c>
      <c r="C25" s="8" t="s">
        <v>74</v>
      </c>
      <c r="D25" s="52" t="s">
        <v>177</v>
      </c>
      <c r="E25" s="6" t="s">
        <v>75</v>
      </c>
      <c r="F25" s="6">
        <v>6</v>
      </c>
      <c r="G25" s="6">
        <v>4</v>
      </c>
      <c r="H25" s="86">
        <f t="shared" si="0"/>
        <v>0.66666666666666663</v>
      </c>
      <c r="I25" s="6">
        <v>13</v>
      </c>
      <c r="J25" s="6">
        <v>1</v>
      </c>
      <c r="K25" s="6">
        <v>3</v>
      </c>
    </row>
    <row r="26" spans="1:11" x14ac:dyDescent="0.2">
      <c r="A26" s="5">
        <v>39350</v>
      </c>
      <c r="B26" s="6">
        <v>5</v>
      </c>
      <c r="C26" s="8" t="s">
        <v>74</v>
      </c>
      <c r="D26" s="52" t="s">
        <v>177</v>
      </c>
      <c r="E26" s="6" t="s">
        <v>75</v>
      </c>
      <c r="F26" s="6">
        <v>6</v>
      </c>
      <c r="G26" s="6">
        <v>3</v>
      </c>
      <c r="H26" s="86">
        <f t="shared" si="0"/>
        <v>0.5</v>
      </c>
      <c r="I26" s="6">
        <v>4</v>
      </c>
      <c r="J26" s="6">
        <v>1</v>
      </c>
      <c r="K26" s="6">
        <v>2</v>
      </c>
    </row>
    <row r="27" spans="1:11" x14ac:dyDescent="0.2">
      <c r="A27" s="5">
        <v>39356</v>
      </c>
      <c r="B27" s="6">
        <v>6</v>
      </c>
      <c r="C27" s="8" t="s">
        <v>74</v>
      </c>
      <c r="D27" s="52" t="s">
        <v>177</v>
      </c>
      <c r="E27" s="6" t="s">
        <v>75</v>
      </c>
      <c r="F27" s="6">
        <v>6</v>
      </c>
      <c r="G27" s="6">
        <v>1</v>
      </c>
      <c r="H27" s="86">
        <f t="shared" si="0"/>
        <v>0.16666666666666666</v>
      </c>
      <c r="I27" s="6">
        <v>2</v>
      </c>
      <c r="J27" s="6">
        <v>0</v>
      </c>
      <c r="K27" s="6">
        <v>1</v>
      </c>
    </row>
    <row r="28" spans="1:11" x14ac:dyDescent="0.2">
      <c r="A28" s="5">
        <v>39322</v>
      </c>
      <c r="B28" s="6">
        <v>1</v>
      </c>
      <c r="C28" s="8" t="s">
        <v>33</v>
      </c>
      <c r="D28" s="8">
        <v>7</v>
      </c>
      <c r="E28" s="6" t="s">
        <v>15</v>
      </c>
      <c r="F28" s="6">
        <v>3</v>
      </c>
      <c r="G28" s="6">
        <v>0</v>
      </c>
      <c r="H28" s="86">
        <f t="shared" si="0"/>
        <v>0</v>
      </c>
      <c r="I28" s="6">
        <v>0</v>
      </c>
      <c r="J28" s="6">
        <v>0</v>
      </c>
      <c r="K28" s="6">
        <v>0</v>
      </c>
    </row>
    <row r="29" spans="1:11" x14ac:dyDescent="0.2">
      <c r="A29" s="5">
        <v>39336</v>
      </c>
      <c r="B29" s="6">
        <v>2</v>
      </c>
      <c r="C29" s="8" t="s">
        <v>33</v>
      </c>
      <c r="D29" s="8">
        <v>7</v>
      </c>
      <c r="E29" s="6" t="s">
        <v>15</v>
      </c>
      <c r="F29" s="6">
        <v>3</v>
      </c>
      <c r="G29" s="6">
        <v>3</v>
      </c>
      <c r="H29" s="86">
        <f t="shared" si="0"/>
        <v>1</v>
      </c>
      <c r="I29" s="6">
        <v>13</v>
      </c>
      <c r="J29" s="6">
        <v>0</v>
      </c>
      <c r="K29" s="6">
        <v>0</v>
      </c>
    </row>
    <row r="30" spans="1:11" x14ac:dyDescent="0.2">
      <c r="A30" s="5">
        <v>39343</v>
      </c>
      <c r="B30" s="6">
        <v>3</v>
      </c>
      <c r="C30" s="8" t="s">
        <v>33</v>
      </c>
      <c r="D30" s="8">
        <v>7</v>
      </c>
      <c r="E30" s="6" t="s">
        <v>15</v>
      </c>
      <c r="F30" s="6">
        <v>3</v>
      </c>
      <c r="G30" s="6">
        <v>4</v>
      </c>
      <c r="H30" s="86">
        <f t="shared" si="0"/>
        <v>1.3333333333333333</v>
      </c>
      <c r="I30" s="6">
        <v>15</v>
      </c>
      <c r="J30" s="6">
        <v>0</v>
      </c>
      <c r="K30" s="6">
        <v>3</v>
      </c>
    </row>
    <row r="31" spans="1:11" x14ac:dyDescent="0.2">
      <c r="A31" s="5">
        <v>39350</v>
      </c>
      <c r="B31" s="6">
        <v>4</v>
      </c>
      <c r="C31" s="8" t="s">
        <v>33</v>
      </c>
      <c r="D31" s="8">
        <v>7</v>
      </c>
      <c r="E31" s="6" t="s">
        <v>15</v>
      </c>
      <c r="F31" s="6">
        <v>3</v>
      </c>
      <c r="G31" s="6">
        <v>2</v>
      </c>
      <c r="H31" s="86">
        <f t="shared" si="0"/>
        <v>0.66666666666666663</v>
      </c>
      <c r="I31" s="6">
        <v>8</v>
      </c>
      <c r="J31" s="6">
        <v>4</v>
      </c>
      <c r="K31" s="6">
        <v>3</v>
      </c>
    </row>
    <row r="32" spans="1:11" x14ac:dyDescent="0.2">
      <c r="A32" s="5">
        <v>39356</v>
      </c>
      <c r="B32" s="6">
        <v>5</v>
      </c>
      <c r="C32" s="8" t="s">
        <v>33</v>
      </c>
      <c r="D32" s="8">
        <v>7</v>
      </c>
      <c r="E32" s="6" t="s">
        <v>15</v>
      </c>
      <c r="F32" s="6">
        <v>3</v>
      </c>
      <c r="G32" s="6">
        <v>0</v>
      </c>
      <c r="H32" s="86">
        <f t="shared" si="0"/>
        <v>0</v>
      </c>
      <c r="I32" s="6">
        <v>0</v>
      </c>
      <c r="J32" s="6">
        <v>2</v>
      </c>
      <c r="K32" s="6">
        <v>2</v>
      </c>
    </row>
    <row r="33" spans="1:11" x14ac:dyDescent="0.2">
      <c r="A33" s="5">
        <v>39322</v>
      </c>
      <c r="B33" s="6">
        <v>1</v>
      </c>
      <c r="C33" s="8" t="s">
        <v>34</v>
      </c>
      <c r="D33" s="8">
        <v>8</v>
      </c>
      <c r="E33" s="6" t="s">
        <v>16</v>
      </c>
      <c r="F33" s="6">
        <v>3</v>
      </c>
      <c r="G33" s="6">
        <v>0</v>
      </c>
      <c r="H33" s="86">
        <f t="shared" si="0"/>
        <v>0</v>
      </c>
      <c r="I33" s="6">
        <v>0</v>
      </c>
      <c r="J33" s="6">
        <v>0</v>
      </c>
      <c r="K33" s="6">
        <v>0</v>
      </c>
    </row>
    <row r="34" spans="1:11" x14ac:dyDescent="0.2">
      <c r="A34" s="5">
        <v>39336</v>
      </c>
      <c r="B34" s="6">
        <v>2</v>
      </c>
      <c r="C34" s="8" t="s">
        <v>34</v>
      </c>
      <c r="D34" s="8">
        <v>8</v>
      </c>
      <c r="E34" s="6" t="s">
        <v>16</v>
      </c>
      <c r="F34" s="6">
        <v>3</v>
      </c>
      <c r="G34" s="6">
        <v>7</v>
      </c>
      <c r="H34" s="86">
        <f t="shared" si="0"/>
        <v>2.3333333333333335</v>
      </c>
      <c r="I34" s="6">
        <v>8</v>
      </c>
      <c r="J34" s="6">
        <v>0</v>
      </c>
      <c r="K34" s="6">
        <v>0</v>
      </c>
    </row>
    <row r="35" spans="1:11" x14ac:dyDescent="0.2">
      <c r="A35" s="5">
        <v>39343</v>
      </c>
      <c r="B35" s="6">
        <v>3</v>
      </c>
      <c r="C35" s="8" t="s">
        <v>34</v>
      </c>
      <c r="D35" s="8">
        <v>8</v>
      </c>
      <c r="E35" s="6" t="s">
        <v>16</v>
      </c>
      <c r="F35" s="6">
        <v>3</v>
      </c>
      <c r="G35" s="6">
        <v>4</v>
      </c>
      <c r="H35" s="86">
        <f t="shared" si="0"/>
        <v>1.3333333333333333</v>
      </c>
      <c r="I35" s="6">
        <v>13</v>
      </c>
      <c r="J35" s="6">
        <v>1</v>
      </c>
      <c r="K35" s="6">
        <v>1</v>
      </c>
    </row>
    <row r="36" spans="1:11" x14ac:dyDescent="0.2">
      <c r="A36" s="5">
        <v>39350</v>
      </c>
      <c r="B36" s="6">
        <v>4</v>
      </c>
      <c r="C36" s="8" t="s">
        <v>34</v>
      </c>
      <c r="D36" s="8">
        <v>8</v>
      </c>
      <c r="E36" s="6" t="s">
        <v>16</v>
      </c>
      <c r="F36" s="6">
        <v>3</v>
      </c>
      <c r="G36" s="6">
        <v>2</v>
      </c>
      <c r="H36" s="86">
        <f t="shared" si="0"/>
        <v>0.66666666666666663</v>
      </c>
      <c r="I36" s="6">
        <v>2</v>
      </c>
      <c r="J36" s="6">
        <v>2</v>
      </c>
      <c r="K36" s="6">
        <v>5</v>
      </c>
    </row>
    <row r="37" spans="1:11" x14ac:dyDescent="0.2">
      <c r="A37" s="5">
        <v>39356</v>
      </c>
      <c r="B37" s="6">
        <v>5</v>
      </c>
      <c r="C37" s="8" t="s">
        <v>34</v>
      </c>
      <c r="D37" s="8">
        <v>8</v>
      </c>
      <c r="E37" s="6" t="s">
        <v>16</v>
      </c>
      <c r="F37" s="6">
        <v>3</v>
      </c>
      <c r="G37" s="6">
        <v>0</v>
      </c>
      <c r="H37" s="86">
        <f t="shared" si="0"/>
        <v>0</v>
      </c>
      <c r="I37" s="6">
        <v>0</v>
      </c>
      <c r="J37" s="6">
        <v>0</v>
      </c>
      <c r="K37" s="6">
        <v>0</v>
      </c>
    </row>
    <row r="38" spans="1:11" x14ac:dyDescent="0.2">
      <c r="A38" s="5">
        <v>39337</v>
      </c>
      <c r="B38" s="6">
        <v>1</v>
      </c>
      <c r="C38" s="8" t="s">
        <v>35</v>
      </c>
      <c r="D38" s="8">
        <v>9</v>
      </c>
      <c r="E38" s="6" t="s">
        <v>17</v>
      </c>
      <c r="F38" s="6">
        <v>4</v>
      </c>
      <c r="G38" s="6">
        <v>0</v>
      </c>
      <c r="H38" s="86">
        <f t="shared" si="0"/>
        <v>0</v>
      </c>
      <c r="I38" s="6">
        <v>12</v>
      </c>
      <c r="J38" s="6">
        <v>0</v>
      </c>
      <c r="K38" s="6">
        <v>0</v>
      </c>
    </row>
    <row r="39" spans="1:11" x14ac:dyDescent="0.2">
      <c r="A39" s="5">
        <v>39343</v>
      </c>
      <c r="B39" s="6">
        <v>2</v>
      </c>
      <c r="C39" s="8" t="s">
        <v>35</v>
      </c>
      <c r="D39" s="8">
        <v>9</v>
      </c>
      <c r="E39" s="6" t="s">
        <v>17</v>
      </c>
      <c r="F39" s="6">
        <v>4</v>
      </c>
      <c r="G39" s="6">
        <v>13</v>
      </c>
      <c r="H39" s="86">
        <f t="shared" si="0"/>
        <v>3.25</v>
      </c>
      <c r="I39" s="6">
        <v>19</v>
      </c>
      <c r="J39" s="6">
        <v>0</v>
      </c>
      <c r="K39" s="6">
        <v>0</v>
      </c>
    </row>
    <row r="40" spans="1:11" x14ac:dyDescent="0.2">
      <c r="A40" s="5">
        <v>39350</v>
      </c>
      <c r="B40" s="6">
        <v>3</v>
      </c>
      <c r="C40" s="8" t="s">
        <v>35</v>
      </c>
      <c r="D40" s="8">
        <v>9</v>
      </c>
      <c r="E40" s="6" t="s">
        <v>17</v>
      </c>
      <c r="F40" s="6">
        <v>4</v>
      </c>
      <c r="G40" s="6">
        <v>4</v>
      </c>
      <c r="H40" s="86">
        <f t="shared" si="0"/>
        <v>1</v>
      </c>
      <c r="I40" s="6">
        <v>5</v>
      </c>
      <c r="J40" s="6">
        <v>1</v>
      </c>
      <c r="K40" s="6">
        <v>5</v>
      </c>
    </row>
    <row r="41" spans="1:11" x14ac:dyDescent="0.2">
      <c r="A41" s="5">
        <v>39356</v>
      </c>
      <c r="B41" s="6">
        <v>4</v>
      </c>
      <c r="C41" s="8" t="s">
        <v>35</v>
      </c>
      <c r="D41" s="8">
        <v>9</v>
      </c>
      <c r="E41" s="6" t="s">
        <v>17</v>
      </c>
      <c r="F41" s="6">
        <v>4</v>
      </c>
      <c r="G41" s="6">
        <v>0</v>
      </c>
      <c r="H41" s="86">
        <f t="shared" si="0"/>
        <v>0</v>
      </c>
      <c r="I41" s="6">
        <v>0</v>
      </c>
      <c r="J41" s="6">
        <v>0</v>
      </c>
      <c r="K41" s="6">
        <v>0</v>
      </c>
    </row>
    <row r="42" spans="1:11" x14ac:dyDescent="0.2">
      <c r="A42" s="5">
        <v>39337</v>
      </c>
      <c r="B42" s="6">
        <v>1</v>
      </c>
      <c r="C42" s="8" t="s">
        <v>36</v>
      </c>
      <c r="D42" s="8">
        <v>10</v>
      </c>
      <c r="E42" s="6" t="s">
        <v>18</v>
      </c>
      <c r="F42" s="6">
        <v>5</v>
      </c>
      <c r="G42" s="6">
        <v>2</v>
      </c>
      <c r="H42" s="86">
        <f t="shared" si="0"/>
        <v>0.4</v>
      </c>
      <c r="I42" s="6">
        <v>6</v>
      </c>
      <c r="J42" s="6">
        <v>0</v>
      </c>
      <c r="K42" s="6">
        <v>0</v>
      </c>
    </row>
    <row r="43" spans="1:11" x14ac:dyDescent="0.2">
      <c r="A43" s="5">
        <v>39350</v>
      </c>
      <c r="B43" s="6">
        <v>2</v>
      </c>
      <c r="C43" s="8" t="s">
        <v>36</v>
      </c>
      <c r="D43" s="8">
        <v>10</v>
      </c>
      <c r="E43" s="6" t="s">
        <v>18</v>
      </c>
      <c r="F43" s="6">
        <v>5</v>
      </c>
      <c r="G43" s="6">
        <v>4</v>
      </c>
      <c r="H43" s="86">
        <f t="shared" si="0"/>
        <v>0.8</v>
      </c>
      <c r="I43" s="6">
        <v>1</v>
      </c>
      <c r="J43" s="6">
        <v>2</v>
      </c>
      <c r="K43" s="6">
        <v>0</v>
      </c>
    </row>
    <row r="44" spans="1:11" x14ac:dyDescent="0.2">
      <c r="A44" s="5">
        <v>39356</v>
      </c>
      <c r="B44" s="6">
        <v>3</v>
      </c>
      <c r="C44" s="8" t="s">
        <v>36</v>
      </c>
      <c r="D44" s="8">
        <v>10</v>
      </c>
      <c r="E44" s="6" t="s">
        <v>18</v>
      </c>
      <c r="F44" s="6">
        <v>5</v>
      </c>
      <c r="G44" s="6">
        <v>2</v>
      </c>
      <c r="H44" s="86">
        <f t="shared" si="0"/>
        <v>0.4</v>
      </c>
      <c r="I44" s="6">
        <v>0</v>
      </c>
      <c r="J44" s="6">
        <v>0</v>
      </c>
      <c r="K44" s="6">
        <v>1</v>
      </c>
    </row>
    <row r="45" spans="1:11" x14ac:dyDescent="0.2">
      <c r="A45" s="5">
        <v>39350</v>
      </c>
      <c r="B45" s="6">
        <v>2</v>
      </c>
      <c r="C45" s="8" t="s">
        <v>37</v>
      </c>
      <c r="D45" s="8">
        <v>11</v>
      </c>
      <c r="E45" s="6" t="s">
        <v>19</v>
      </c>
      <c r="F45" s="6">
        <v>4</v>
      </c>
      <c r="G45" s="6">
        <v>5</v>
      </c>
      <c r="H45" s="86">
        <f t="shared" si="0"/>
        <v>1.25</v>
      </c>
      <c r="I45" s="6">
        <v>3</v>
      </c>
      <c r="J45" s="6">
        <v>1</v>
      </c>
      <c r="K45" s="6">
        <v>0</v>
      </c>
    </row>
    <row r="46" spans="1:11" x14ac:dyDescent="0.2">
      <c r="A46" s="5">
        <v>39356</v>
      </c>
      <c r="B46" s="6">
        <v>3</v>
      </c>
      <c r="C46" s="8" t="s">
        <v>37</v>
      </c>
      <c r="D46" s="8">
        <v>11</v>
      </c>
      <c r="E46" s="6" t="s">
        <v>19</v>
      </c>
      <c r="F46" s="6">
        <v>4</v>
      </c>
      <c r="G46" s="6">
        <v>3</v>
      </c>
      <c r="H46" s="86">
        <f t="shared" si="0"/>
        <v>0.75</v>
      </c>
      <c r="I46" s="6">
        <v>0</v>
      </c>
      <c r="J46" s="6">
        <v>0</v>
      </c>
      <c r="K46" s="6">
        <v>2</v>
      </c>
    </row>
    <row r="47" spans="1:11" x14ac:dyDescent="0.2">
      <c r="A47" s="5">
        <v>39350</v>
      </c>
      <c r="B47" s="6">
        <v>1</v>
      </c>
      <c r="C47" s="8" t="s">
        <v>38</v>
      </c>
      <c r="D47" s="8">
        <v>12</v>
      </c>
      <c r="E47" s="6" t="s">
        <v>20</v>
      </c>
      <c r="F47" s="6">
        <v>3</v>
      </c>
      <c r="G47" s="6">
        <v>1</v>
      </c>
      <c r="H47" s="86">
        <f t="shared" si="0"/>
        <v>0.33333333333333331</v>
      </c>
      <c r="I47" s="6">
        <v>2</v>
      </c>
      <c r="J47" s="6">
        <v>1</v>
      </c>
      <c r="K47" s="6">
        <v>0</v>
      </c>
    </row>
    <row r="48" spans="1:11" x14ac:dyDescent="0.2">
      <c r="A48" s="5">
        <v>39356</v>
      </c>
      <c r="B48" s="6">
        <v>2</v>
      </c>
      <c r="C48" s="8" t="s">
        <v>38</v>
      </c>
      <c r="D48" s="8">
        <v>12</v>
      </c>
      <c r="E48" s="6" t="s">
        <v>20</v>
      </c>
      <c r="F48" s="6">
        <v>3</v>
      </c>
      <c r="G48" s="6">
        <v>1</v>
      </c>
      <c r="H48" s="86">
        <f t="shared" si="0"/>
        <v>0.33333333333333331</v>
      </c>
      <c r="I48" s="6">
        <v>0</v>
      </c>
      <c r="J48" s="6">
        <v>0</v>
      </c>
      <c r="K48" s="6">
        <v>0</v>
      </c>
    </row>
    <row r="49" spans="1:11" x14ac:dyDescent="0.2">
      <c r="A49" s="5">
        <v>39351</v>
      </c>
      <c r="B49" s="6">
        <v>1</v>
      </c>
      <c r="C49" s="8" t="s">
        <v>124</v>
      </c>
      <c r="D49" s="8">
        <v>13</v>
      </c>
      <c r="E49" s="6" t="s">
        <v>21</v>
      </c>
      <c r="F49" s="6">
        <v>3</v>
      </c>
      <c r="G49" s="6">
        <v>0</v>
      </c>
      <c r="H49" s="86">
        <f t="shared" si="0"/>
        <v>0</v>
      </c>
      <c r="I49" s="6">
        <v>0</v>
      </c>
      <c r="J49" s="6">
        <v>0</v>
      </c>
      <c r="K49" s="6">
        <v>0</v>
      </c>
    </row>
    <row r="50" spans="1:11" x14ac:dyDescent="0.2">
      <c r="A50" s="5">
        <v>39356</v>
      </c>
      <c r="B50" s="6">
        <v>2</v>
      </c>
      <c r="C50" s="8" t="s">
        <v>124</v>
      </c>
      <c r="D50" s="8">
        <v>13</v>
      </c>
      <c r="E50" s="6" t="s">
        <v>21</v>
      </c>
      <c r="F50" s="6">
        <v>3</v>
      </c>
      <c r="G50" s="6">
        <v>0</v>
      </c>
      <c r="H50" s="86">
        <f t="shared" si="0"/>
        <v>0</v>
      </c>
      <c r="I50" s="6">
        <v>0</v>
      </c>
      <c r="J50" s="6">
        <v>0</v>
      </c>
      <c r="K50" s="6">
        <v>0</v>
      </c>
    </row>
    <row r="51" spans="1:11" x14ac:dyDescent="0.2">
      <c r="A51" s="5">
        <v>39351</v>
      </c>
      <c r="B51" s="6">
        <v>1</v>
      </c>
      <c r="C51" s="8" t="s">
        <v>123</v>
      </c>
      <c r="D51" s="8">
        <v>14</v>
      </c>
      <c r="E51" s="6" t="s">
        <v>22</v>
      </c>
      <c r="F51" s="6">
        <v>3</v>
      </c>
      <c r="G51" s="6">
        <v>2</v>
      </c>
      <c r="H51" s="86">
        <f t="shared" si="0"/>
        <v>0.66666666666666663</v>
      </c>
      <c r="I51" s="6">
        <v>0</v>
      </c>
      <c r="J51" s="6">
        <v>2</v>
      </c>
      <c r="K51" s="6">
        <v>0</v>
      </c>
    </row>
    <row r="52" spans="1:11" ht="13.5" thickBot="1" x14ac:dyDescent="0.25">
      <c r="A52" s="5">
        <v>39356</v>
      </c>
      <c r="B52" s="6">
        <v>2</v>
      </c>
      <c r="C52" s="8" t="s">
        <v>123</v>
      </c>
      <c r="D52" s="8">
        <v>14</v>
      </c>
      <c r="E52" s="6" t="s">
        <v>22</v>
      </c>
      <c r="F52" s="80">
        <v>3</v>
      </c>
      <c r="G52" s="80">
        <v>0</v>
      </c>
      <c r="H52" s="87">
        <f t="shared" si="0"/>
        <v>0</v>
      </c>
      <c r="I52" s="80">
        <v>0</v>
      </c>
      <c r="J52" s="80">
        <v>0</v>
      </c>
      <c r="K52" s="80">
        <v>0</v>
      </c>
    </row>
    <row r="53" spans="1:11" x14ac:dyDescent="0.2">
      <c r="F53" s="3">
        <f>SUM(F4:F52)</f>
        <v>206</v>
      </c>
      <c r="G53" s="3">
        <f>SUM(G4:G52)</f>
        <v>90</v>
      </c>
      <c r="H53" s="88">
        <f t="shared" si="0"/>
        <v>0.43689320388349512</v>
      </c>
      <c r="I53" s="3">
        <f t="shared" ref="I53:K53" si="1">SUM(I4:I52)</f>
        <v>205</v>
      </c>
      <c r="J53" s="3">
        <f t="shared" si="1"/>
        <v>22</v>
      </c>
      <c r="K53" s="3">
        <f t="shared" si="1"/>
        <v>35</v>
      </c>
    </row>
  </sheetData>
  <sortState xmlns:xlrd2="http://schemas.microsoft.com/office/spreadsheetml/2017/richdata2" ref="A8:K62">
    <sortCondition ref="D8:D62"/>
  </sortState>
  <phoneticPr fontId="0" type="noConversion"/>
  <pageMargins left="0.75" right="0.75" top="1" bottom="1" header="0.5" footer="0.5"/>
  <pageSetup orientation="portrait" r:id="rId1"/>
  <headerFooter alignWithMargins="0"/>
  <ignoredErrors>
    <ignoredError sqref="H53" formula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5"/>
  <sheetViews>
    <sheetView workbookViewId="0">
      <pane ySplit="3" topLeftCell="A4" activePane="bottomLeft" state="frozen"/>
      <selection pane="bottomLeft" activeCell="G41" sqref="G41"/>
    </sheetView>
  </sheetViews>
  <sheetFormatPr defaultRowHeight="12.75" x14ac:dyDescent="0.2"/>
  <cols>
    <col min="5" max="5" width="31.7109375" customWidth="1"/>
  </cols>
  <sheetData>
    <row r="1" spans="1:11" x14ac:dyDescent="0.2">
      <c r="A1" s="2"/>
      <c r="B1" s="2"/>
      <c r="C1" s="2" t="s">
        <v>25</v>
      </c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1" x14ac:dyDescent="0.2">
      <c r="A2" s="2" t="s">
        <v>0</v>
      </c>
      <c r="B2" s="2" t="s">
        <v>1</v>
      </c>
      <c r="C2" s="2" t="s">
        <v>26</v>
      </c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1" ht="13.5" thickBot="1" x14ac:dyDescent="0.25">
      <c r="A3" s="1"/>
      <c r="I3" s="1"/>
      <c r="J3" s="4" t="s">
        <v>6</v>
      </c>
      <c r="K3" s="4" t="s">
        <v>7</v>
      </c>
    </row>
    <row r="4" spans="1:11" x14ac:dyDescent="0.2">
      <c r="A4" s="5">
        <v>39323</v>
      </c>
      <c r="B4" s="6">
        <v>1</v>
      </c>
      <c r="C4" s="8" t="s">
        <v>97</v>
      </c>
      <c r="D4" s="8" t="s">
        <v>183</v>
      </c>
      <c r="E4" s="6" t="s">
        <v>100</v>
      </c>
      <c r="F4" s="6">
        <v>12</v>
      </c>
      <c r="G4" s="6">
        <v>1</v>
      </c>
      <c r="H4" s="86">
        <f>G4/F4</f>
        <v>8.3333333333333329E-2</v>
      </c>
      <c r="I4" s="6">
        <v>7</v>
      </c>
      <c r="J4" s="6">
        <v>0</v>
      </c>
      <c r="K4" s="6">
        <v>0</v>
      </c>
    </row>
    <row r="5" spans="1:11" x14ac:dyDescent="0.2">
      <c r="A5" s="5">
        <v>39330</v>
      </c>
      <c r="B5" s="6">
        <v>2</v>
      </c>
      <c r="C5" s="8" t="s">
        <v>97</v>
      </c>
      <c r="D5" s="8" t="s">
        <v>183</v>
      </c>
      <c r="E5" s="6" t="s">
        <v>100</v>
      </c>
      <c r="F5" s="6">
        <v>12</v>
      </c>
      <c r="G5" s="6">
        <v>5</v>
      </c>
      <c r="H5" s="86">
        <f t="shared" ref="H5:H31" si="0">G5/F5</f>
        <v>0.41666666666666669</v>
      </c>
      <c r="I5" s="6">
        <v>15</v>
      </c>
      <c r="J5" s="6">
        <v>0</v>
      </c>
      <c r="K5" s="6">
        <v>0</v>
      </c>
    </row>
    <row r="6" spans="1:11" x14ac:dyDescent="0.2">
      <c r="A6" s="5">
        <v>39337</v>
      </c>
      <c r="B6" s="6">
        <v>3</v>
      </c>
      <c r="C6" s="8" t="s">
        <v>97</v>
      </c>
      <c r="D6" s="8" t="s">
        <v>183</v>
      </c>
      <c r="E6" s="6" t="s">
        <v>100</v>
      </c>
      <c r="F6" s="6">
        <v>12</v>
      </c>
      <c r="G6" s="6">
        <v>8</v>
      </c>
      <c r="H6" s="86">
        <f t="shared" si="0"/>
        <v>0.66666666666666663</v>
      </c>
      <c r="I6" s="6">
        <v>31</v>
      </c>
      <c r="J6" s="6">
        <v>0</v>
      </c>
      <c r="K6" s="6">
        <v>0</v>
      </c>
    </row>
    <row r="7" spans="1:11" x14ac:dyDescent="0.2">
      <c r="A7" s="5">
        <v>39344</v>
      </c>
      <c r="B7" s="6">
        <v>4</v>
      </c>
      <c r="C7" s="8" t="s">
        <v>97</v>
      </c>
      <c r="D7" s="8" t="s">
        <v>183</v>
      </c>
      <c r="E7" s="6" t="s">
        <v>100</v>
      </c>
      <c r="F7" s="6">
        <v>12</v>
      </c>
      <c r="G7" s="6">
        <v>6</v>
      </c>
      <c r="H7" s="86">
        <f t="shared" si="0"/>
        <v>0.5</v>
      </c>
      <c r="I7" s="6">
        <v>9</v>
      </c>
      <c r="J7" s="6">
        <v>2</v>
      </c>
      <c r="K7" s="6">
        <v>1</v>
      </c>
    </row>
    <row r="8" spans="1:11" x14ac:dyDescent="0.2">
      <c r="A8" s="5">
        <v>39323</v>
      </c>
      <c r="B8" s="6">
        <v>1</v>
      </c>
      <c r="C8" s="8" t="s">
        <v>77</v>
      </c>
      <c r="D8" s="52" t="s">
        <v>180</v>
      </c>
      <c r="E8" s="6" t="s">
        <v>76</v>
      </c>
      <c r="F8" s="6">
        <v>7</v>
      </c>
      <c r="G8" s="6">
        <v>2</v>
      </c>
      <c r="H8" s="86">
        <f t="shared" si="0"/>
        <v>0.2857142857142857</v>
      </c>
      <c r="I8" s="6">
        <v>8</v>
      </c>
      <c r="J8" s="6">
        <v>0</v>
      </c>
      <c r="K8" s="6">
        <v>1</v>
      </c>
    </row>
    <row r="9" spans="1:11" x14ac:dyDescent="0.2">
      <c r="A9" s="5">
        <v>39330</v>
      </c>
      <c r="B9" s="6">
        <v>2</v>
      </c>
      <c r="C9" s="8" t="s">
        <v>77</v>
      </c>
      <c r="D9" s="52" t="s">
        <v>180</v>
      </c>
      <c r="E9" s="6" t="s">
        <v>76</v>
      </c>
      <c r="F9" s="6">
        <v>7</v>
      </c>
      <c r="G9" s="6">
        <v>3</v>
      </c>
      <c r="H9" s="86">
        <f t="shared" si="0"/>
        <v>0.42857142857142855</v>
      </c>
      <c r="I9" s="6">
        <v>29</v>
      </c>
      <c r="J9" s="6">
        <v>0</v>
      </c>
      <c r="K9" s="6">
        <v>0</v>
      </c>
    </row>
    <row r="10" spans="1:11" x14ac:dyDescent="0.2">
      <c r="A10" s="5">
        <v>39337</v>
      </c>
      <c r="B10" s="6">
        <v>3</v>
      </c>
      <c r="C10" s="8" t="s">
        <v>77</v>
      </c>
      <c r="D10" s="52" t="s">
        <v>180</v>
      </c>
      <c r="E10" s="6" t="s">
        <v>76</v>
      </c>
      <c r="F10" s="6">
        <v>7</v>
      </c>
      <c r="G10" s="6">
        <v>15</v>
      </c>
      <c r="H10" s="86">
        <f t="shared" si="0"/>
        <v>2.1428571428571428</v>
      </c>
      <c r="I10" s="6">
        <v>35</v>
      </c>
      <c r="J10" s="6">
        <v>1</v>
      </c>
      <c r="K10" s="6">
        <v>6</v>
      </c>
    </row>
    <row r="11" spans="1:11" x14ac:dyDescent="0.2">
      <c r="A11" s="5">
        <v>39344</v>
      </c>
      <c r="B11" s="6">
        <v>4</v>
      </c>
      <c r="C11" s="8" t="s">
        <v>77</v>
      </c>
      <c r="D11" s="52" t="s">
        <v>180</v>
      </c>
      <c r="E11" s="6" t="s">
        <v>76</v>
      </c>
      <c r="F11" s="6">
        <v>7</v>
      </c>
      <c r="G11" s="6">
        <v>2</v>
      </c>
      <c r="H11" s="86">
        <f t="shared" si="0"/>
        <v>0.2857142857142857</v>
      </c>
      <c r="I11" s="6">
        <v>10</v>
      </c>
      <c r="J11" s="6">
        <v>5</v>
      </c>
      <c r="K11" s="6">
        <v>10</v>
      </c>
    </row>
    <row r="12" spans="1:11" x14ac:dyDescent="0.2">
      <c r="A12" s="5">
        <v>39349</v>
      </c>
      <c r="B12" s="6">
        <v>5</v>
      </c>
      <c r="C12" s="8" t="s">
        <v>77</v>
      </c>
      <c r="D12" s="52" t="s">
        <v>180</v>
      </c>
      <c r="E12" s="6" t="s">
        <v>76</v>
      </c>
      <c r="F12" s="6">
        <v>7</v>
      </c>
      <c r="G12" s="6">
        <v>2</v>
      </c>
      <c r="H12" s="86">
        <f t="shared" si="0"/>
        <v>0.2857142857142857</v>
      </c>
      <c r="I12" s="6">
        <v>0</v>
      </c>
      <c r="J12" s="6">
        <v>4</v>
      </c>
      <c r="K12" s="6">
        <v>0</v>
      </c>
    </row>
    <row r="13" spans="1:11" x14ac:dyDescent="0.2">
      <c r="A13" s="5">
        <v>39330</v>
      </c>
      <c r="B13" s="6">
        <v>1</v>
      </c>
      <c r="C13" s="8" t="s">
        <v>74</v>
      </c>
      <c r="D13" s="52" t="s">
        <v>177</v>
      </c>
      <c r="E13" s="6" t="s">
        <v>75</v>
      </c>
      <c r="F13" s="6">
        <v>6</v>
      </c>
      <c r="G13" s="6">
        <v>1</v>
      </c>
      <c r="H13" s="86">
        <f t="shared" si="0"/>
        <v>0.16666666666666666</v>
      </c>
      <c r="I13" s="6">
        <v>2</v>
      </c>
      <c r="J13" s="6">
        <v>0</v>
      </c>
      <c r="K13" s="6">
        <v>0</v>
      </c>
    </row>
    <row r="14" spans="1:11" x14ac:dyDescent="0.2">
      <c r="A14" s="5">
        <v>39337</v>
      </c>
      <c r="B14" s="6">
        <v>2</v>
      </c>
      <c r="C14" s="8" t="s">
        <v>74</v>
      </c>
      <c r="D14" s="52" t="s">
        <v>177</v>
      </c>
      <c r="E14" s="6" t="s">
        <v>75</v>
      </c>
      <c r="F14" s="6">
        <v>6</v>
      </c>
      <c r="G14" s="6">
        <v>17</v>
      </c>
      <c r="H14" s="86">
        <f t="shared" si="0"/>
        <v>2.8333333333333335</v>
      </c>
      <c r="I14" s="6">
        <v>34</v>
      </c>
      <c r="J14" s="6">
        <v>1</v>
      </c>
      <c r="K14" s="6">
        <v>2</v>
      </c>
    </row>
    <row r="15" spans="1:11" x14ac:dyDescent="0.2">
      <c r="A15" s="5">
        <v>39344</v>
      </c>
      <c r="B15" s="6">
        <v>3</v>
      </c>
      <c r="C15" s="8" t="s">
        <v>74</v>
      </c>
      <c r="D15" s="52" t="s">
        <v>177</v>
      </c>
      <c r="E15" s="6" t="s">
        <v>75</v>
      </c>
      <c r="F15" s="6">
        <v>6</v>
      </c>
      <c r="G15" s="6">
        <v>7</v>
      </c>
      <c r="H15" s="86">
        <f t="shared" si="0"/>
        <v>1.1666666666666667</v>
      </c>
      <c r="I15" s="6">
        <v>17</v>
      </c>
      <c r="J15" s="6">
        <v>1</v>
      </c>
      <c r="K15" s="6">
        <v>6</v>
      </c>
    </row>
    <row r="16" spans="1:11" x14ac:dyDescent="0.2">
      <c r="A16" s="5">
        <v>39349</v>
      </c>
      <c r="B16" s="6">
        <v>4</v>
      </c>
      <c r="C16" s="8" t="s">
        <v>74</v>
      </c>
      <c r="D16" s="52" t="s">
        <v>177</v>
      </c>
      <c r="E16" s="6" t="s">
        <v>75</v>
      </c>
      <c r="F16" s="6">
        <v>6</v>
      </c>
      <c r="G16" s="6">
        <v>9</v>
      </c>
      <c r="H16" s="86">
        <f t="shared" si="0"/>
        <v>1.5</v>
      </c>
      <c r="I16" s="6">
        <v>9</v>
      </c>
      <c r="J16" s="6">
        <v>1</v>
      </c>
      <c r="K16" s="6">
        <v>5</v>
      </c>
    </row>
    <row r="17" spans="1:11" x14ac:dyDescent="0.2">
      <c r="A17" s="5">
        <v>39357</v>
      </c>
      <c r="B17" s="6">
        <v>5</v>
      </c>
      <c r="C17" s="8" t="s">
        <v>74</v>
      </c>
      <c r="D17" s="52" t="s">
        <v>177</v>
      </c>
      <c r="E17" s="6" t="s">
        <v>75</v>
      </c>
      <c r="F17" s="6">
        <v>6</v>
      </c>
      <c r="G17" s="6">
        <v>2</v>
      </c>
      <c r="H17" s="86">
        <f t="shared" si="0"/>
        <v>0.33333333333333331</v>
      </c>
      <c r="I17" s="6">
        <v>0</v>
      </c>
      <c r="J17" s="6">
        <v>1</v>
      </c>
      <c r="K17" s="6">
        <v>1</v>
      </c>
    </row>
    <row r="18" spans="1:11" x14ac:dyDescent="0.2">
      <c r="A18" s="5">
        <v>39330</v>
      </c>
      <c r="B18" s="6">
        <v>1</v>
      </c>
      <c r="C18" s="8" t="s">
        <v>86</v>
      </c>
      <c r="D18" s="52" t="s">
        <v>186</v>
      </c>
      <c r="E18" s="6" t="s">
        <v>85</v>
      </c>
      <c r="F18" s="6">
        <v>6</v>
      </c>
      <c r="G18" s="6">
        <v>1</v>
      </c>
      <c r="H18" s="86">
        <f t="shared" si="0"/>
        <v>0.16666666666666666</v>
      </c>
      <c r="I18" s="6">
        <v>24</v>
      </c>
      <c r="J18" s="6">
        <v>0</v>
      </c>
      <c r="K18" s="6">
        <v>0</v>
      </c>
    </row>
    <row r="19" spans="1:11" x14ac:dyDescent="0.2">
      <c r="A19" s="5">
        <v>39337</v>
      </c>
      <c r="B19" s="6">
        <v>2</v>
      </c>
      <c r="C19" s="8" t="s">
        <v>86</v>
      </c>
      <c r="D19" s="52" t="s">
        <v>186</v>
      </c>
      <c r="E19" s="6" t="s">
        <v>85</v>
      </c>
      <c r="F19" s="6">
        <v>6</v>
      </c>
      <c r="G19" s="6">
        <v>10</v>
      </c>
      <c r="H19" s="86">
        <f t="shared" si="0"/>
        <v>1.6666666666666667</v>
      </c>
      <c r="I19" s="6">
        <v>29</v>
      </c>
      <c r="J19" s="6">
        <v>0</v>
      </c>
      <c r="K19" s="6">
        <v>2</v>
      </c>
    </row>
    <row r="20" spans="1:11" x14ac:dyDescent="0.2">
      <c r="A20" s="5">
        <v>39344</v>
      </c>
      <c r="B20" s="6">
        <v>3</v>
      </c>
      <c r="C20" s="8" t="s">
        <v>86</v>
      </c>
      <c r="D20" s="52" t="s">
        <v>186</v>
      </c>
      <c r="E20" s="6" t="s">
        <v>85</v>
      </c>
      <c r="F20" s="6">
        <v>6</v>
      </c>
      <c r="G20" s="6">
        <v>18</v>
      </c>
      <c r="H20" s="86">
        <f t="shared" si="0"/>
        <v>3</v>
      </c>
      <c r="I20" s="6">
        <v>22</v>
      </c>
      <c r="J20" s="6">
        <v>0</v>
      </c>
      <c r="K20" s="6">
        <v>12</v>
      </c>
    </row>
    <row r="21" spans="1:11" x14ac:dyDescent="0.2">
      <c r="A21" s="5">
        <v>39349</v>
      </c>
      <c r="B21" s="6">
        <v>4</v>
      </c>
      <c r="C21" s="8" t="s">
        <v>86</v>
      </c>
      <c r="D21" s="52" t="s">
        <v>186</v>
      </c>
      <c r="E21" s="6" t="s">
        <v>85</v>
      </c>
      <c r="F21" s="6">
        <v>6</v>
      </c>
      <c r="G21" s="6">
        <v>3</v>
      </c>
      <c r="H21" s="86">
        <f t="shared" si="0"/>
        <v>0.5</v>
      </c>
      <c r="I21" s="6">
        <v>2</v>
      </c>
      <c r="J21" s="6">
        <v>1</v>
      </c>
      <c r="K21" s="6">
        <v>1</v>
      </c>
    </row>
    <row r="22" spans="1:11" x14ac:dyDescent="0.2">
      <c r="A22" s="5">
        <v>39330</v>
      </c>
      <c r="B22" s="6">
        <v>1</v>
      </c>
      <c r="C22" s="8" t="s">
        <v>35</v>
      </c>
      <c r="D22" s="8">
        <v>9</v>
      </c>
      <c r="E22" s="6" t="s">
        <v>17</v>
      </c>
      <c r="F22" s="6">
        <v>4</v>
      </c>
      <c r="G22" s="6">
        <v>0</v>
      </c>
      <c r="H22" s="86">
        <f t="shared" si="0"/>
        <v>0</v>
      </c>
      <c r="I22" s="6">
        <v>2</v>
      </c>
      <c r="J22" s="6">
        <v>0</v>
      </c>
      <c r="K22" s="6">
        <v>1</v>
      </c>
    </row>
    <row r="23" spans="1:11" x14ac:dyDescent="0.2">
      <c r="A23" s="5">
        <v>39337</v>
      </c>
      <c r="B23" s="6">
        <v>2</v>
      </c>
      <c r="C23" s="8" t="s">
        <v>35</v>
      </c>
      <c r="D23" s="8">
        <v>9</v>
      </c>
      <c r="E23" s="6" t="s">
        <v>17</v>
      </c>
      <c r="F23" s="6">
        <v>4</v>
      </c>
      <c r="G23" s="6">
        <v>8</v>
      </c>
      <c r="H23" s="86">
        <f t="shared" si="0"/>
        <v>2</v>
      </c>
      <c r="I23" s="6">
        <v>22</v>
      </c>
      <c r="J23" s="6">
        <v>0</v>
      </c>
      <c r="K23" s="6">
        <v>0</v>
      </c>
    </row>
    <row r="24" spans="1:11" x14ac:dyDescent="0.2">
      <c r="A24" s="5">
        <v>39344</v>
      </c>
      <c r="B24" s="6">
        <v>3</v>
      </c>
      <c r="C24" s="8" t="s">
        <v>35</v>
      </c>
      <c r="D24" s="8">
        <v>9</v>
      </c>
      <c r="E24" s="6" t="s">
        <v>17</v>
      </c>
      <c r="F24" s="6">
        <v>4</v>
      </c>
      <c r="G24" s="6">
        <v>12</v>
      </c>
      <c r="H24" s="86">
        <f t="shared" si="0"/>
        <v>3</v>
      </c>
      <c r="I24" s="6">
        <v>22</v>
      </c>
      <c r="J24" s="6">
        <v>1</v>
      </c>
      <c r="K24" s="6">
        <v>11</v>
      </c>
    </row>
    <row r="25" spans="1:11" x14ac:dyDescent="0.2">
      <c r="A25" s="5">
        <v>39349</v>
      </c>
      <c r="B25" s="6">
        <v>4</v>
      </c>
      <c r="C25" s="8" t="s">
        <v>35</v>
      </c>
      <c r="D25" s="8">
        <v>9</v>
      </c>
      <c r="E25" s="6" t="s">
        <v>17</v>
      </c>
      <c r="F25" s="6">
        <v>4</v>
      </c>
      <c r="G25" s="6">
        <v>3</v>
      </c>
      <c r="H25" s="86">
        <f t="shared" si="0"/>
        <v>0.75</v>
      </c>
      <c r="I25" s="6">
        <v>3</v>
      </c>
      <c r="J25" s="6">
        <v>2</v>
      </c>
      <c r="K25" s="6">
        <v>8</v>
      </c>
    </row>
    <row r="26" spans="1:11" x14ac:dyDescent="0.2">
      <c r="A26" s="5">
        <v>39349</v>
      </c>
      <c r="B26" s="6">
        <v>1</v>
      </c>
      <c r="C26" s="8" t="s">
        <v>36</v>
      </c>
      <c r="D26" s="8">
        <v>10</v>
      </c>
      <c r="E26" s="6" t="s">
        <v>18</v>
      </c>
      <c r="F26" s="6">
        <v>5</v>
      </c>
      <c r="G26" s="6">
        <v>22</v>
      </c>
      <c r="H26" s="86">
        <f t="shared" si="0"/>
        <v>4.4000000000000004</v>
      </c>
      <c r="I26" s="6">
        <v>15</v>
      </c>
      <c r="J26" s="6">
        <v>5</v>
      </c>
      <c r="K26" s="6">
        <v>11</v>
      </c>
    </row>
    <row r="27" spans="1:11" x14ac:dyDescent="0.2">
      <c r="A27" s="5">
        <v>39349</v>
      </c>
      <c r="B27" s="6">
        <v>1</v>
      </c>
      <c r="C27" s="8" t="s">
        <v>37</v>
      </c>
      <c r="D27" s="8">
        <v>11</v>
      </c>
      <c r="E27" s="6" t="s">
        <v>19</v>
      </c>
      <c r="F27" s="6">
        <v>4</v>
      </c>
      <c r="G27" s="6">
        <v>8</v>
      </c>
      <c r="H27" s="86">
        <f t="shared" si="0"/>
        <v>2</v>
      </c>
      <c r="I27" s="6">
        <v>7</v>
      </c>
      <c r="J27" s="6">
        <v>1</v>
      </c>
      <c r="K27" s="6">
        <v>4</v>
      </c>
    </row>
    <row r="28" spans="1:11" x14ac:dyDescent="0.2">
      <c r="A28" s="5">
        <v>39357</v>
      </c>
      <c r="B28" s="6">
        <v>2</v>
      </c>
      <c r="C28" s="8" t="s">
        <v>37</v>
      </c>
      <c r="D28" s="8">
        <v>11</v>
      </c>
      <c r="E28" s="6" t="s">
        <v>19</v>
      </c>
      <c r="F28" s="6">
        <v>4</v>
      </c>
      <c r="G28" s="6">
        <v>3</v>
      </c>
      <c r="H28" s="86">
        <f t="shared" si="0"/>
        <v>0.75</v>
      </c>
      <c r="I28" s="6">
        <v>0</v>
      </c>
      <c r="J28" s="6">
        <v>0</v>
      </c>
      <c r="K28" s="6">
        <v>2</v>
      </c>
    </row>
    <row r="29" spans="1:11" x14ac:dyDescent="0.2">
      <c r="A29" s="5">
        <v>39357</v>
      </c>
      <c r="B29" s="6">
        <v>1</v>
      </c>
      <c r="C29" s="8" t="s">
        <v>38</v>
      </c>
      <c r="D29" s="8">
        <v>12</v>
      </c>
      <c r="E29" s="6" t="s">
        <v>20</v>
      </c>
      <c r="F29" s="6">
        <v>3</v>
      </c>
      <c r="G29" s="6">
        <v>10</v>
      </c>
      <c r="H29" s="86">
        <f t="shared" si="0"/>
        <v>3.3333333333333335</v>
      </c>
      <c r="I29" s="6">
        <v>0</v>
      </c>
      <c r="J29" s="6">
        <v>0</v>
      </c>
      <c r="K29" s="6">
        <v>3</v>
      </c>
    </row>
    <row r="30" spans="1:11" ht="13.5" thickBot="1" x14ac:dyDescent="0.25">
      <c r="A30" s="5">
        <v>39357</v>
      </c>
      <c r="B30" s="6">
        <v>1</v>
      </c>
      <c r="C30" s="8" t="s">
        <v>39</v>
      </c>
      <c r="D30" s="8" t="s">
        <v>182</v>
      </c>
      <c r="E30" s="6" t="s">
        <v>80</v>
      </c>
      <c r="F30" s="80">
        <v>6</v>
      </c>
      <c r="G30" s="80">
        <v>2</v>
      </c>
      <c r="H30" s="87">
        <f t="shared" si="0"/>
        <v>0.33333333333333331</v>
      </c>
      <c r="I30" s="80">
        <v>0</v>
      </c>
      <c r="J30" s="80">
        <v>0</v>
      </c>
      <c r="K30" s="80">
        <v>1</v>
      </c>
    </row>
    <row r="31" spans="1:11" x14ac:dyDescent="0.2">
      <c r="F31" s="3">
        <f>SUM(F4:F30)</f>
        <v>175</v>
      </c>
      <c r="G31" s="3">
        <f>SUM(G4:G30)</f>
        <v>180</v>
      </c>
      <c r="H31" s="88">
        <f t="shared" si="0"/>
        <v>1.0285714285714285</v>
      </c>
      <c r="I31" s="3">
        <f t="shared" ref="I31:K31" si="1">SUM(I4:I30)</f>
        <v>354</v>
      </c>
      <c r="J31" s="3">
        <f t="shared" si="1"/>
        <v>26</v>
      </c>
      <c r="K31" s="3">
        <f t="shared" si="1"/>
        <v>88</v>
      </c>
    </row>
    <row r="34" spans="1:11" x14ac:dyDescent="0.2">
      <c r="C34" s="103" t="s">
        <v>208</v>
      </c>
      <c r="D34" s="103"/>
      <c r="E34" s="103"/>
    </row>
    <row r="35" spans="1:11" x14ac:dyDescent="0.2">
      <c r="A35" s="5"/>
      <c r="B35" s="6"/>
      <c r="C35" s="8"/>
      <c r="D35" s="8"/>
      <c r="E35" s="6"/>
      <c r="F35" s="6"/>
      <c r="G35" s="6"/>
      <c r="H35" s="6"/>
      <c r="I35" s="6"/>
      <c r="J35" s="6"/>
      <c r="K35" s="6"/>
    </row>
  </sheetData>
  <sortState xmlns:xlrd2="http://schemas.microsoft.com/office/spreadsheetml/2017/richdata2" ref="A22:K34">
    <sortCondition ref="D22:D34"/>
  </sortState>
  <phoneticPr fontId="0" type="noConversion"/>
  <pageMargins left="0.75" right="0.75" top="1" bottom="1" header="0.5" footer="0.5"/>
  <pageSetup orientation="portrait" r:id="rId1"/>
  <headerFooter alignWithMargins="0"/>
  <ignoredErrors>
    <ignoredError sqref="H31" formula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56"/>
  <sheetViews>
    <sheetView workbookViewId="0">
      <selection activeCell="G24" sqref="G24:G34"/>
    </sheetView>
  </sheetViews>
  <sheetFormatPr defaultRowHeight="12.75" x14ac:dyDescent="0.2"/>
  <cols>
    <col min="5" max="5" width="29.140625" bestFit="1" customWidth="1"/>
  </cols>
  <sheetData>
    <row r="1" spans="1:11" x14ac:dyDescent="0.2">
      <c r="A1" s="2"/>
      <c r="B1" s="2"/>
      <c r="C1" s="2" t="s">
        <v>25</v>
      </c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1" x14ac:dyDescent="0.2">
      <c r="A2" s="2" t="s">
        <v>0</v>
      </c>
      <c r="B2" s="2" t="s">
        <v>1</v>
      </c>
      <c r="C2" s="2" t="s">
        <v>26</v>
      </c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1" ht="13.5" thickBot="1" x14ac:dyDescent="0.25">
      <c r="A3" s="1"/>
      <c r="I3" s="1"/>
      <c r="J3" s="4" t="s">
        <v>6</v>
      </c>
      <c r="K3" s="4" t="s">
        <v>7</v>
      </c>
    </row>
    <row r="4" spans="1:11" x14ac:dyDescent="0.2">
      <c r="A4" s="5">
        <v>39324</v>
      </c>
      <c r="B4" s="6">
        <v>2</v>
      </c>
      <c r="C4" s="8" t="s">
        <v>97</v>
      </c>
      <c r="D4" s="8" t="s">
        <v>183</v>
      </c>
      <c r="E4" s="6" t="s">
        <v>100</v>
      </c>
      <c r="F4" s="6">
        <v>12</v>
      </c>
      <c r="G4" s="6">
        <v>4</v>
      </c>
      <c r="H4" s="86">
        <f>G4/F4</f>
        <v>0.33333333333333331</v>
      </c>
      <c r="I4" s="6">
        <v>38</v>
      </c>
      <c r="J4" s="6">
        <v>0</v>
      </c>
      <c r="K4" s="6">
        <v>0</v>
      </c>
    </row>
    <row r="5" spans="1:11" x14ac:dyDescent="0.2">
      <c r="A5" s="5">
        <v>39331</v>
      </c>
      <c r="B5" s="6">
        <v>3</v>
      </c>
      <c r="C5" s="8" t="s">
        <v>97</v>
      </c>
      <c r="D5" s="8" t="s">
        <v>183</v>
      </c>
      <c r="E5" s="6" t="s">
        <v>100</v>
      </c>
      <c r="F5" s="6">
        <v>12</v>
      </c>
      <c r="G5" s="6">
        <v>18</v>
      </c>
      <c r="H5" s="86">
        <f t="shared" ref="H5:H35" si="0">G5/F5</f>
        <v>1.5</v>
      </c>
      <c r="I5" s="6">
        <v>35</v>
      </c>
      <c r="J5" s="6">
        <v>0</v>
      </c>
      <c r="K5" s="6">
        <v>1</v>
      </c>
    </row>
    <row r="6" spans="1:11" x14ac:dyDescent="0.2">
      <c r="A6" s="5">
        <v>39338</v>
      </c>
      <c r="B6" s="6">
        <v>4</v>
      </c>
      <c r="C6" s="8" t="s">
        <v>97</v>
      </c>
      <c r="D6" s="8" t="s">
        <v>183</v>
      </c>
      <c r="E6" s="6" t="s">
        <v>100</v>
      </c>
      <c r="F6" s="6">
        <v>12</v>
      </c>
      <c r="G6" s="6">
        <v>5</v>
      </c>
      <c r="H6" s="86">
        <f t="shared" si="0"/>
        <v>0.41666666666666669</v>
      </c>
      <c r="I6" s="6">
        <v>17</v>
      </c>
      <c r="J6" s="6">
        <v>0</v>
      </c>
      <c r="K6" s="6">
        <v>5</v>
      </c>
    </row>
    <row r="7" spans="1:11" x14ac:dyDescent="0.2">
      <c r="A7" s="5">
        <v>39317</v>
      </c>
      <c r="B7" s="6">
        <v>1</v>
      </c>
      <c r="C7" s="8" t="s">
        <v>78</v>
      </c>
      <c r="D7" s="52" t="s">
        <v>184</v>
      </c>
      <c r="E7" s="6" t="s">
        <v>79</v>
      </c>
      <c r="F7" s="6">
        <v>9</v>
      </c>
      <c r="G7" s="6">
        <v>2</v>
      </c>
      <c r="H7" s="86">
        <f t="shared" si="0"/>
        <v>0.22222222222222221</v>
      </c>
      <c r="I7" s="6">
        <v>8</v>
      </c>
      <c r="J7" s="6">
        <v>0</v>
      </c>
      <c r="K7" s="6">
        <v>0</v>
      </c>
    </row>
    <row r="8" spans="1:11" x14ac:dyDescent="0.2">
      <c r="A8" s="5">
        <v>39345</v>
      </c>
      <c r="B8" s="6">
        <v>5</v>
      </c>
      <c r="C8" s="8" t="s">
        <v>28</v>
      </c>
      <c r="D8" s="8">
        <v>2</v>
      </c>
      <c r="E8" s="6" t="s">
        <v>10</v>
      </c>
      <c r="F8" s="6">
        <v>3</v>
      </c>
      <c r="G8" s="6">
        <v>0</v>
      </c>
      <c r="H8" s="86">
        <f t="shared" si="0"/>
        <v>0</v>
      </c>
      <c r="I8" s="6">
        <v>1</v>
      </c>
      <c r="J8" s="6">
        <v>0</v>
      </c>
      <c r="K8" s="6">
        <v>2</v>
      </c>
    </row>
    <row r="9" spans="1:11" x14ac:dyDescent="0.2">
      <c r="A9" s="5">
        <v>39317</v>
      </c>
      <c r="B9" s="6">
        <v>1</v>
      </c>
      <c r="C9" s="8" t="s">
        <v>77</v>
      </c>
      <c r="D9" s="52" t="s">
        <v>180</v>
      </c>
      <c r="E9" s="6" t="s">
        <v>76</v>
      </c>
      <c r="F9" s="6">
        <v>7</v>
      </c>
      <c r="G9" s="6">
        <v>0</v>
      </c>
      <c r="H9" s="86">
        <f t="shared" si="0"/>
        <v>0</v>
      </c>
      <c r="I9" s="6">
        <v>4</v>
      </c>
      <c r="J9" s="6">
        <v>0</v>
      </c>
      <c r="K9" s="6">
        <v>0</v>
      </c>
    </row>
    <row r="10" spans="1:11" x14ac:dyDescent="0.2">
      <c r="A10" s="5">
        <v>39324</v>
      </c>
      <c r="B10" s="6">
        <v>2</v>
      </c>
      <c r="C10" s="8" t="s">
        <v>77</v>
      </c>
      <c r="D10" s="52" t="s">
        <v>180</v>
      </c>
      <c r="E10" s="6" t="s">
        <v>76</v>
      </c>
      <c r="F10" s="6">
        <v>7</v>
      </c>
      <c r="G10" s="6">
        <v>4</v>
      </c>
      <c r="H10" s="86">
        <f t="shared" si="0"/>
        <v>0.5714285714285714</v>
      </c>
      <c r="I10" s="6">
        <v>22</v>
      </c>
      <c r="J10" s="6">
        <v>0</v>
      </c>
      <c r="K10" s="6">
        <v>1</v>
      </c>
    </row>
    <row r="11" spans="1:11" x14ac:dyDescent="0.2">
      <c r="A11" s="5">
        <v>39331</v>
      </c>
      <c r="B11" s="6">
        <v>3</v>
      </c>
      <c r="C11" s="8" t="s">
        <v>77</v>
      </c>
      <c r="D11" s="52" t="s">
        <v>180</v>
      </c>
      <c r="E11" s="6" t="s">
        <v>76</v>
      </c>
      <c r="F11" s="6">
        <v>7</v>
      </c>
      <c r="G11" s="6">
        <v>4</v>
      </c>
      <c r="H11" s="86">
        <f t="shared" si="0"/>
        <v>0.5714285714285714</v>
      </c>
      <c r="I11" s="6">
        <v>28</v>
      </c>
      <c r="J11" s="6">
        <v>0</v>
      </c>
      <c r="K11" s="6">
        <v>0</v>
      </c>
    </row>
    <row r="12" spans="1:11" x14ac:dyDescent="0.2">
      <c r="A12" s="5">
        <v>39338</v>
      </c>
      <c r="B12" s="6">
        <v>4</v>
      </c>
      <c r="C12" s="8" t="s">
        <v>77</v>
      </c>
      <c r="D12" s="52" t="s">
        <v>180</v>
      </c>
      <c r="E12" s="6" t="s">
        <v>76</v>
      </c>
      <c r="F12" s="6">
        <v>7</v>
      </c>
      <c r="G12" s="6">
        <v>14</v>
      </c>
      <c r="H12" s="86">
        <f t="shared" si="0"/>
        <v>2</v>
      </c>
      <c r="I12" s="6">
        <v>26</v>
      </c>
      <c r="J12" s="6">
        <v>0</v>
      </c>
      <c r="K12" s="6">
        <v>5</v>
      </c>
    </row>
    <row r="13" spans="1:11" x14ac:dyDescent="0.2">
      <c r="A13" s="5">
        <v>39345</v>
      </c>
      <c r="B13" s="6">
        <v>5</v>
      </c>
      <c r="C13" s="8" t="s">
        <v>77</v>
      </c>
      <c r="D13" s="52" t="s">
        <v>180</v>
      </c>
      <c r="E13" s="6" t="s">
        <v>76</v>
      </c>
      <c r="F13" s="6">
        <v>7</v>
      </c>
      <c r="G13" s="6">
        <v>0</v>
      </c>
      <c r="H13" s="86">
        <f t="shared" si="0"/>
        <v>0</v>
      </c>
      <c r="I13" s="6">
        <v>2</v>
      </c>
      <c r="J13" s="6">
        <v>0</v>
      </c>
      <c r="K13" s="6">
        <v>7</v>
      </c>
    </row>
    <row r="14" spans="1:11" x14ac:dyDescent="0.2">
      <c r="A14" s="5">
        <v>39324</v>
      </c>
      <c r="B14" s="6">
        <v>1</v>
      </c>
      <c r="C14" s="8" t="s">
        <v>74</v>
      </c>
      <c r="D14" s="52" t="s">
        <v>177</v>
      </c>
      <c r="E14" s="6" t="s">
        <v>75</v>
      </c>
      <c r="F14" s="6">
        <v>6</v>
      </c>
      <c r="G14" s="6">
        <v>0</v>
      </c>
      <c r="H14" s="86">
        <f t="shared" si="0"/>
        <v>0</v>
      </c>
      <c r="I14" s="6">
        <v>2</v>
      </c>
      <c r="J14" s="6">
        <v>0</v>
      </c>
      <c r="K14" s="6">
        <v>0</v>
      </c>
    </row>
    <row r="15" spans="1:11" x14ac:dyDescent="0.2">
      <c r="A15" s="5">
        <v>39331</v>
      </c>
      <c r="B15" s="6">
        <v>2</v>
      </c>
      <c r="C15" s="8" t="s">
        <v>74</v>
      </c>
      <c r="D15" s="52" t="s">
        <v>177</v>
      </c>
      <c r="E15" s="6" t="s">
        <v>75</v>
      </c>
      <c r="F15" s="6">
        <v>6</v>
      </c>
      <c r="G15" s="6">
        <v>10</v>
      </c>
      <c r="H15" s="86">
        <f t="shared" si="0"/>
        <v>1.6666666666666667</v>
      </c>
      <c r="I15" s="6">
        <v>11</v>
      </c>
      <c r="J15" s="6">
        <v>0</v>
      </c>
      <c r="K15" s="6">
        <v>1</v>
      </c>
    </row>
    <row r="16" spans="1:11" x14ac:dyDescent="0.2">
      <c r="A16" s="5">
        <v>39338</v>
      </c>
      <c r="B16" s="6">
        <v>3</v>
      </c>
      <c r="C16" s="8" t="s">
        <v>74</v>
      </c>
      <c r="D16" s="52" t="s">
        <v>177</v>
      </c>
      <c r="E16" s="6" t="s">
        <v>75</v>
      </c>
      <c r="F16" s="6">
        <v>6</v>
      </c>
      <c r="G16" s="6">
        <v>5</v>
      </c>
      <c r="H16" s="86">
        <f t="shared" si="0"/>
        <v>0.83333333333333337</v>
      </c>
      <c r="I16" s="6">
        <v>30</v>
      </c>
      <c r="J16" s="6">
        <v>0</v>
      </c>
      <c r="K16" s="6">
        <v>9</v>
      </c>
    </row>
    <row r="17" spans="1:11" x14ac:dyDescent="0.2">
      <c r="A17" s="5">
        <v>39345</v>
      </c>
      <c r="B17" s="6">
        <v>4</v>
      </c>
      <c r="C17" s="8" t="s">
        <v>74</v>
      </c>
      <c r="D17" s="52" t="s">
        <v>177</v>
      </c>
      <c r="E17" s="6" t="s">
        <v>75</v>
      </c>
      <c r="F17" s="6">
        <v>6</v>
      </c>
      <c r="G17" s="6">
        <v>4</v>
      </c>
      <c r="H17" s="86">
        <f t="shared" si="0"/>
        <v>0.66666666666666663</v>
      </c>
      <c r="I17" s="6">
        <v>3</v>
      </c>
      <c r="J17" s="6">
        <v>0</v>
      </c>
      <c r="K17" s="6">
        <v>10</v>
      </c>
    </row>
    <row r="18" spans="1:11" x14ac:dyDescent="0.2">
      <c r="A18" s="5">
        <v>39352</v>
      </c>
      <c r="B18" s="6">
        <v>5</v>
      </c>
      <c r="C18" s="8" t="s">
        <v>74</v>
      </c>
      <c r="D18" s="52" t="s">
        <v>177</v>
      </c>
      <c r="E18" s="6" t="s">
        <v>75</v>
      </c>
      <c r="F18" s="6">
        <v>6</v>
      </c>
      <c r="G18" s="6">
        <v>0</v>
      </c>
      <c r="H18" s="86">
        <f t="shared" si="0"/>
        <v>0</v>
      </c>
      <c r="I18" s="6">
        <v>0</v>
      </c>
      <c r="J18" s="6">
        <v>0</v>
      </c>
      <c r="K18" s="6">
        <v>0</v>
      </c>
    </row>
    <row r="19" spans="1:11" x14ac:dyDescent="0.2">
      <c r="A19" s="5">
        <v>39324</v>
      </c>
      <c r="B19" s="6">
        <v>1</v>
      </c>
      <c r="C19" s="8" t="s">
        <v>86</v>
      </c>
      <c r="D19" s="52" t="s">
        <v>186</v>
      </c>
      <c r="E19" s="6" t="s">
        <v>85</v>
      </c>
      <c r="F19" s="6">
        <v>6</v>
      </c>
      <c r="G19" s="6">
        <v>0</v>
      </c>
      <c r="H19" s="86">
        <f t="shared" si="0"/>
        <v>0</v>
      </c>
      <c r="I19" s="6">
        <v>2</v>
      </c>
      <c r="J19" s="6">
        <v>0</v>
      </c>
      <c r="K19" s="6">
        <v>0</v>
      </c>
    </row>
    <row r="20" spans="1:11" x14ac:dyDescent="0.2">
      <c r="A20" s="5">
        <v>39331</v>
      </c>
      <c r="B20" s="6">
        <v>2</v>
      </c>
      <c r="C20" s="8" t="s">
        <v>86</v>
      </c>
      <c r="D20" s="52" t="s">
        <v>186</v>
      </c>
      <c r="E20" s="6" t="s">
        <v>85</v>
      </c>
      <c r="F20" s="6">
        <v>6</v>
      </c>
      <c r="G20" s="6">
        <v>2</v>
      </c>
      <c r="H20" s="86">
        <f t="shared" si="0"/>
        <v>0.33333333333333331</v>
      </c>
      <c r="I20" s="6">
        <v>6</v>
      </c>
      <c r="J20" s="6">
        <v>0</v>
      </c>
      <c r="K20" s="6">
        <v>0</v>
      </c>
    </row>
    <row r="21" spans="1:11" x14ac:dyDescent="0.2">
      <c r="A21" s="5">
        <v>39338</v>
      </c>
      <c r="B21" s="6">
        <v>3</v>
      </c>
      <c r="C21" s="8" t="s">
        <v>86</v>
      </c>
      <c r="D21" s="52" t="s">
        <v>186</v>
      </c>
      <c r="E21" s="6" t="s">
        <v>85</v>
      </c>
      <c r="F21" s="6">
        <v>6</v>
      </c>
      <c r="G21" s="6">
        <v>9</v>
      </c>
      <c r="H21" s="86">
        <f t="shared" si="0"/>
        <v>1.5</v>
      </c>
      <c r="I21" s="6">
        <v>14</v>
      </c>
      <c r="J21" s="6">
        <v>0</v>
      </c>
      <c r="K21" s="6">
        <v>7</v>
      </c>
    </row>
    <row r="22" spans="1:11" x14ac:dyDescent="0.2">
      <c r="A22" s="5">
        <v>39345</v>
      </c>
      <c r="B22" s="6">
        <v>4</v>
      </c>
      <c r="C22" s="8" t="s">
        <v>86</v>
      </c>
      <c r="D22" s="52" t="s">
        <v>186</v>
      </c>
      <c r="E22" s="6" t="s">
        <v>85</v>
      </c>
      <c r="F22" s="6">
        <v>6</v>
      </c>
      <c r="G22" s="6">
        <v>2</v>
      </c>
      <c r="H22" s="86">
        <f t="shared" si="0"/>
        <v>0.33333333333333331</v>
      </c>
      <c r="I22" s="6">
        <v>5</v>
      </c>
      <c r="J22" s="6">
        <v>1</v>
      </c>
      <c r="K22" s="6">
        <v>7</v>
      </c>
    </row>
    <row r="23" spans="1:11" x14ac:dyDescent="0.2">
      <c r="A23" s="5">
        <v>39352</v>
      </c>
      <c r="B23" s="6">
        <v>5</v>
      </c>
      <c r="C23" s="8" t="s">
        <v>86</v>
      </c>
      <c r="D23" s="52" t="s">
        <v>186</v>
      </c>
      <c r="E23" s="6" t="s">
        <v>85</v>
      </c>
      <c r="F23" s="6">
        <v>6</v>
      </c>
      <c r="G23" s="6">
        <v>0</v>
      </c>
      <c r="H23" s="86">
        <f t="shared" si="0"/>
        <v>0</v>
      </c>
      <c r="I23" s="6">
        <v>2</v>
      </c>
      <c r="J23" s="6">
        <v>0</v>
      </c>
      <c r="K23" s="6">
        <v>3</v>
      </c>
    </row>
    <row r="24" spans="1:11" x14ac:dyDescent="0.2">
      <c r="A24" s="5">
        <v>39324</v>
      </c>
      <c r="B24" s="6">
        <v>1</v>
      </c>
      <c r="C24" s="8" t="s">
        <v>35</v>
      </c>
      <c r="D24" s="8">
        <v>9</v>
      </c>
      <c r="E24" s="6" t="s">
        <v>17</v>
      </c>
      <c r="F24" s="6">
        <v>4</v>
      </c>
      <c r="G24" s="6">
        <v>0</v>
      </c>
      <c r="H24" s="86">
        <f t="shared" si="0"/>
        <v>0</v>
      </c>
      <c r="I24" s="6">
        <v>0</v>
      </c>
      <c r="J24" s="6">
        <v>0</v>
      </c>
      <c r="K24" s="6">
        <v>0</v>
      </c>
    </row>
    <row r="25" spans="1:11" x14ac:dyDescent="0.2">
      <c r="A25" s="5">
        <v>39331</v>
      </c>
      <c r="B25" s="6">
        <v>2</v>
      </c>
      <c r="C25" s="8" t="s">
        <v>35</v>
      </c>
      <c r="D25" s="8">
        <v>9</v>
      </c>
      <c r="E25" s="6" t="s">
        <v>17</v>
      </c>
      <c r="F25" s="6">
        <v>4</v>
      </c>
      <c r="G25" s="6">
        <v>2</v>
      </c>
      <c r="H25" s="86">
        <f t="shared" si="0"/>
        <v>0.5</v>
      </c>
      <c r="I25" s="6">
        <v>3</v>
      </c>
      <c r="J25" s="6">
        <v>0</v>
      </c>
      <c r="K25" s="6">
        <v>0</v>
      </c>
    </row>
    <row r="26" spans="1:11" x14ac:dyDescent="0.2">
      <c r="A26" s="5">
        <v>39338</v>
      </c>
      <c r="B26" s="6">
        <v>3</v>
      </c>
      <c r="C26" s="8" t="s">
        <v>35</v>
      </c>
      <c r="D26" s="8">
        <v>9</v>
      </c>
      <c r="E26" s="6" t="s">
        <v>17</v>
      </c>
      <c r="F26" s="6">
        <v>4</v>
      </c>
      <c r="G26" s="6">
        <v>7</v>
      </c>
      <c r="H26" s="86">
        <f t="shared" si="0"/>
        <v>1.75</v>
      </c>
      <c r="I26" s="6">
        <v>12</v>
      </c>
      <c r="J26" s="6">
        <v>0</v>
      </c>
      <c r="K26" s="6">
        <v>0</v>
      </c>
    </row>
    <row r="27" spans="1:11" x14ac:dyDescent="0.2">
      <c r="A27" s="5">
        <v>39345</v>
      </c>
      <c r="B27" s="6">
        <v>2</v>
      </c>
      <c r="C27" s="8" t="s">
        <v>35</v>
      </c>
      <c r="D27" s="8">
        <v>9</v>
      </c>
      <c r="E27" s="6" t="s">
        <v>17</v>
      </c>
      <c r="F27" s="6">
        <v>4</v>
      </c>
      <c r="G27" s="6">
        <v>3</v>
      </c>
      <c r="H27" s="86">
        <f t="shared" si="0"/>
        <v>0.75</v>
      </c>
      <c r="I27" s="6">
        <v>4</v>
      </c>
      <c r="J27" s="6">
        <v>0</v>
      </c>
      <c r="K27" s="6">
        <v>8</v>
      </c>
    </row>
    <row r="28" spans="1:11" x14ac:dyDescent="0.2">
      <c r="A28" s="5">
        <v>39352</v>
      </c>
      <c r="B28" s="6">
        <v>3</v>
      </c>
      <c r="C28" s="8" t="s">
        <v>35</v>
      </c>
      <c r="D28" s="8">
        <v>9</v>
      </c>
      <c r="E28" s="6" t="s">
        <v>17</v>
      </c>
      <c r="F28" s="6">
        <v>4</v>
      </c>
      <c r="G28" s="6">
        <v>1</v>
      </c>
      <c r="H28" s="86">
        <f t="shared" si="0"/>
        <v>0.25</v>
      </c>
      <c r="I28" s="6">
        <v>2</v>
      </c>
      <c r="J28" s="6">
        <v>0</v>
      </c>
      <c r="K28" s="6">
        <v>1</v>
      </c>
    </row>
    <row r="29" spans="1:11" x14ac:dyDescent="0.2">
      <c r="A29" s="5">
        <v>39324</v>
      </c>
      <c r="B29" s="6">
        <v>1</v>
      </c>
      <c r="C29" s="8" t="s">
        <v>36</v>
      </c>
      <c r="D29" s="8">
        <v>10</v>
      </c>
      <c r="E29" s="6" t="s">
        <v>18</v>
      </c>
      <c r="F29" s="6">
        <v>5</v>
      </c>
      <c r="G29" s="6">
        <v>0</v>
      </c>
      <c r="H29" s="86">
        <f t="shared" si="0"/>
        <v>0</v>
      </c>
      <c r="I29" s="6">
        <v>0</v>
      </c>
      <c r="J29" s="6">
        <v>0</v>
      </c>
      <c r="K29" s="6">
        <v>0</v>
      </c>
    </row>
    <row r="30" spans="1:11" x14ac:dyDescent="0.2">
      <c r="A30" s="5">
        <v>39345</v>
      </c>
      <c r="B30" s="6">
        <v>1</v>
      </c>
      <c r="C30" s="8" t="s">
        <v>36</v>
      </c>
      <c r="D30" s="8">
        <v>10</v>
      </c>
      <c r="E30" s="6" t="s">
        <v>18</v>
      </c>
      <c r="F30" s="6">
        <v>5</v>
      </c>
      <c r="G30" s="6">
        <v>7</v>
      </c>
      <c r="H30" s="86">
        <f t="shared" si="0"/>
        <v>1.4</v>
      </c>
      <c r="I30" s="6">
        <v>1</v>
      </c>
      <c r="J30" s="6">
        <v>0</v>
      </c>
      <c r="K30" s="6">
        <v>10</v>
      </c>
    </row>
    <row r="31" spans="1:11" x14ac:dyDescent="0.2">
      <c r="A31" s="5">
        <v>39352</v>
      </c>
      <c r="B31" s="6">
        <v>2</v>
      </c>
      <c r="C31" s="8" t="s">
        <v>36</v>
      </c>
      <c r="D31" s="8">
        <v>10</v>
      </c>
      <c r="E31" s="6" t="s">
        <v>18</v>
      </c>
      <c r="F31" s="6">
        <v>5</v>
      </c>
      <c r="G31" s="6">
        <v>0</v>
      </c>
      <c r="H31" s="86">
        <f t="shared" si="0"/>
        <v>0</v>
      </c>
      <c r="I31" s="6">
        <v>0</v>
      </c>
      <c r="J31" s="6">
        <v>0</v>
      </c>
      <c r="K31" s="6">
        <v>2</v>
      </c>
    </row>
    <row r="32" spans="1:11" x14ac:dyDescent="0.2">
      <c r="A32" s="5">
        <v>39345</v>
      </c>
      <c r="B32" s="6">
        <v>1</v>
      </c>
      <c r="C32" s="8" t="s">
        <v>37</v>
      </c>
      <c r="D32" s="8">
        <v>11</v>
      </c>
      <c r="E32" s="6" t="s">
        <v>19</v>
      </c>
      <c r="F32" s="6">
        <v>4</v>
      </c>
      <c r="G32" s="6">
        <v>2</v>
      </c>
      <c r="H32" s="86">
        <f t="shared" si="0"/>
        <v>0.5</v>
      </c>
      <c r="I32" s="6">
        <v>2</v>
      </c>
      <c r="J32" s="6">
        <v>0</v>
      </c>
      <c r="K32" s="6">
        <v>2</v>
      </c>
    </row>
    <row r="33" spans="1:11" x14ac:dyDescent="0.2">
      <c r="A33" s="5">
        <v>39352</v>
      </c>
      <c r="B33" s="6">
        <v>2</v>
      </c>
      <c r="C33" s="8" t="s">
        <v>37</v>
      </c>
      <c r="D33" s="8">
        <v>11</v>
      </c>
      <c r="E33" s="6" t="s">
        <v>19</v>
      </c>
      <c r="F33" s="6">
        <v>4</v>
      </c>
      <c r="G33" s="6">
        <v>1</v>
      </c>
      <c r="H33" s="86">
        <f t="shared" si="0"/>
        <v>0.25</v>
      </c>
      <c r="I33" s="6">
        <v>1</v>
      </c>
      <c r="J33" s="6">
        <v>0</v>
      </c>
      <c r="K33" s="6">
        <v>1</v>
      </c>
    </row>
    <row r="34" spans="1:11" ht="13.5" thickBot="1" x14ac:dyDescent="0.25">
      <c r="A34" s="5">
        <v>39345</v>
      </c>
      <c r="B34" s="6">
        <v>1</v>
      </c>
      <c r="C34" s="8" t="s">
        <v>38</v>
      </c>
      <c r="D34" s="8">
        <v>12</v>
      </c>
      <c r="E34" s="6" t="s">
        <v>20</v>
      </c>
      <c r="F34" s="80">
        <v>3</v>
      </c>
      <c r="G34" s="80">
        <v>0</v>
      </c>
      <c r="H34" s="87">
        <f t="shared" si="0"/>
        <v>0</v>
      </c>
      <c r="I34" s="80">
        <v>0</v>
      </c>
      <c r="J34" s="80">
        <v>0</v>
      </c>
      <c r="K34" s="80">
        <v>0</v>
      </c>
    </row>
    <row r="35" spans="1:11" x14ac:dyDescent="0.2">
      <c r="F35" s="3">
        <f>SUM(F4:F34)</f>
        <v>189</v>
      </c>
      <c r="G35" s="3">
        <f>SUM(G4:G34)</f>
        <v>106</v>
      </c>
      <c r="H35" s="88">
        <f t="shared" si="0"/>
        <v>0.56084656084656082</v>
      </c>
      <c r="I35" s="3">
        <f t="shared" ref="I35:K35" si="1">SUM(I4:I34)</f>
        <v>281</v>
      </c>
      <c r="J35" s="3">
        <f t="shared" si="1"/>
        <v>1</v>
      </c>
      <c r="K35" s="3">
        <f t="shared" si="1"/>
        <v>82</v>
      </c>
    </row>
    <row r="39" spans="1:11" x14ac:dyDescent="0.2">
      <c r="C39" s="103" t="s">
        <v>208</v>
      </c>
      <c r="D39" s="103"/>
      <c r="E39" s="103"/>
    </row>
    <row r="54" spans="1:11" x14ac:dyDescent="0.2">
      <c r="A54" s="6"/>
      <c r="B54" s="6"/>
      <c r="C54" s="8"/>
      <c r="D54" s="8"/>
      <c r="E54" s="6"/>
      <c r="F54" s="6"/>
      <c r="G54" s="6"/>
      <c r="H54" s="6"/>
      <c r="I54" s="6"/>
      <c r="J54" s="6"/>
      <c r="K54" s="6"/>
    </row>
    <row r="55" spans="1:11" x14ac:dyDescent="0.2">
      <c r="A55" s="6"/>
      <c r="B55" s="6"/>
      <c r="C55" s="8"/>
      <c r="D55" s="8"/>
      <c r="E55" s="6"/>
      <c r="F55" s="6"/>
      <c r="G55" s="6"/>
      <c r="H55" s="6"/>
      <c r="I55" s="6"/>
      <c r="J55" s="6"/>
      <c r="K55" s="6"/>
    </row>
    <row r="56" spans="1:11" x14ac:dyDescent="0.2">
      <c r="A56" s="6"/>
      <c r="B56" s="6"/>
      <c r="C56" s="8"/>
      <c r="D56" s="8"/>
      <c r="E56" s="6"/>
      <c r="F56" s="6"/>
      <c r="G56" s="6"/>
      <c r="H56" s="6"/>
      <c r="I56" s="6"/>
      <c r="J56" s="6"/>
      <c r="K56" s="6"/>
    </row>
  </sheetData>
  <sortState xmlns:xlrd2="http://schemas.microsoft.com/office/spreadsheetml/2017/richdata2" ref="A24:K53">
    <sortCondition ref="D24:D53"/>
  </sortState>
  <phoneticPr fontId="0" type="noConversion"/>
  <pageMargins left="0.75" right="0.75" top="1" bottom="1" header="0.5" footer="0.5"/>
  <pageSetup orientation="portrait" r:id="rId1"/>
  <headerFooter alignWithMargins="0"/>
  <ignoredErrors>
    <ignoredError sqref="H35" formula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75"/>
  <sheetViews>
    <sheetView workbookViewId="0">
      <selection activeCell="G25" sqref="G25:G31"/>
    </sheetView>
  </sheetViews>
  <sheetFormatPr defaultRowHeight="12.75" x14ac:dyDescent="0.2"/>
  <cols>
    <col min="5" max="5" width="29.140625" bestFit="1" customWidth="1"/>
  </cols>
  <sheetData>
    <row r="1" spans="1:11" x14ac:dyDescent="0.2">
      <c r="A1" s="2"/>
      <c r="B1" s="2"/>
      <c r="C1" s="2" t="s">
        <v>25</v>
      </c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1" x14ac:dyDescent="0.2">
      <c r="A2" s="2" t="s">
        <v>0</v>
      </c>
      <c r="B2" s="2" t="s">
        <v>1</v>
      </c>
      <c r="C2" s="2" t="s">
        <v>26</v>
      </c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1" ht="13.5" thickBot="1" x14ac:dyDescent="0.25">
      <c r="A3" s="1"/>
      <c r="I3" s="1"/>
      <c r="J3" s="4" t="s">
        <v>6</v>
      </c>
      <c r="K3" s="4" t="s">
        <v>7</v>
      </c>
    </row>
    <row r="4" spans="1:11" x14ac:dyDescent="0.2">
      <c r="A4" s="5">
        <v>39318</v>
      </c>
      <c r="B4" s="6">
        <v>1</v>
      </c>
      <c r="C4" s="8" t="s">
        <v>97</v>
      </c>
      <c r="D4" s="8" t="s">
        <v>183</v>
      </c>
      <c r="E4" s="6" t="s">
        <v>100</v>
      </c>
      <c r="F4" s="6">
        <v>12</v>
      </c>
      <c r="G4" s="19">
        <v>1</v>
      </c>
      <c r="H4" s="86">
        <f>G4/F4</f>
        <v>8.3333333333333329E-2</v>
      </c>
      <c r="I4" s="6">
        <v>0</v>
      </c>
      <c r="J4" s="6">
        <v>0</v>
      </c>
      <c r="K4" s="6">
        <v>0</v>
      </c>
    </row>
    <row r="5" spans="1:11" x14ac:dyDescent="0.2">
      <c r="A5" s="5">
        <v>39331</v>
      </c>
      <c r="B5" s="6">
        <v>3</v>
      </c>
      <c r="C5" s="8" t="s">
        <v>97</v>
      </c>
      <c r="D5" s="8" t="s">
        <v>183</v>
      </c>
      <c r="E5" s="6" t="s">
        <v>100</v>
      </c>
      <c r="F5" s="6">
        <v>12</v>
      </c>
      <c r="G5" s="19">
        <v>4</v>
      </c>
      <c r="H5" s="86">
        <f t="shared" ref="H5:H32" si="0">G5/F5</f>
        <v>0.33333333333333331</v>
      </c>
      <c r="I5" s="6">
        <v>8</v>
      </c>
      <c r="J5" s="6">
        <v>0</v>
      </c>
      <c r="K5" s="6">
        <v>2</v>
      </c>
    </row>
    <row r="6" spans="1:11" x14ac:dyDescent="0.2">
      <c r="A6" s="5">
        <v>39339</v>
      </c>
      <c r="B6" s="6">
        <v>4</v>
      </c>
      <c r="C6" s="8" t="s">
        <v>97</v>
      </c>
      <c r="D6" s="8" t="s">
        <v>183</v>
      </c>
      <c r="E6" s="6" t="s">
        <v>100</v>
      </c>
      <c r="F6" s="6">
        <v>12</v>
      </c>
      <c r="G6" s="19">
        <v>5</v>
      </c>
      <c r="H6" s="86">
        <f t="shared" si="0"/>
        <v>0.41666666666666669</v>
      </c>
      <c r="I6" s="6">
        <v>5</v>
      </c>
      <c r="J6" s="6">
        <v>0</v>
      </c>
      <c r="K6" s="6">
        <v>0</v>
      </c>
    </row>
    <row r="7" spans="1:11" x14ac:dyDescent="0.2">
      <c r="A7" s="5">
        <v>39325</v>
      </c>
      <c r="B7" s="6">
        <v>2</v>
      </c>
      <c r="C7" s="8" t="s">
        <v>78</v>
      </c>
      <c r="D7" s="52" t="s">
        <v>184</v>
      </c>
      <c r="E7" s="6" t="s">
        <v>79</v>
      </c>
      <c r="F7" s="6">
        <v>9</v>
      </c>
      <c r="G7" s="19">
        <v>4</v>
      </c>
      <c r="H7" s="86">
        <f t="shared" si="0"/>
        <v>0.44444444444444442</v>
      </c>
      <c r="I7" s="6">
        <v>17</v>
      </c>
      <c r="J7" s="6">
        <v>0</v>
      </c>
      <c r="K7" s="6">
        <v>0</v>
      </c>
    </row>
    <row r="8" spans="1:11" x14ac:dyDescent="0.2">
      <c r="A8" s="5">
        <v>39346</v>
      </c>
      <c r="B8" s="6">
        <v>5</v>
      </c>
      <c r="C8" s="8" t="s">
        <v>78</v>
      </c>
      <c r="D8" s="52" t="s">
        <v>184</v>
      </c>
      <c r="E8" s="6" t="s">
        <v>79</v>
      </c>
      <c r="F8" s="6">
        <v>9</v>
      </c>
      <c r="G8" s="19">
        <v>3</v>
      </c>
      <c r="H8" s="86">
        <f t="shared" si="0"/>
        <v>0.33333333333333331</v>
      </c>
      <c r="I8" s="6">
        <v>3</v>
      </c>
      <c r="J8" s="6">
        <v>0</v>
      </c>
      <c r="K8" s="6">
        <v>0</v>
      </c>
    </row>
    <row r="9" spans="1:11" x14ac:dyDescent="0.2">
      <c r="A9" s="5">
        <v>39352</v>
      </c>
      <c r="B9" s="6">
        <v>6</v>
      </c>
      <c r="C9" s="8" t="s">
        <v>78</v>
      </c>
      <c r="D9" s="52" t="s">
        <v>184</v>
      </c>
      <c r="E9" s="6" t="s">
        <v>79</v>
      </c>
      <c r="F9" s="6">
        <v>9</v>
      </c>
      <c r="G9" s="19">
        <v>1</v>
      </c>
      <c r="H9" s="86">
        <f t="shared" si="0"/>
        <v>0.1111111111111111</v>
      </c>
      <c r="I9" s="6">
        <v>1</v>
      </c>
      <c r="J9" s="6">
        <v>0</v>
      </c>
      <c r="K9" s="6">
        <v>0</v>
      </c>
    </row>
    <row r="10" spans="1:11" x14ac:dyDescent="0.2">
      <c r="A10" s="5">
        <v>39325</v>
      </c>
      <c r="B10" s="6">
        <v>1</v>
      </c>
      <c r="C10" s="8" t="s">
        <v>77</v>
      </c>
      <c r="D10" s="52" t="s">
        <v>180</v>
      </c>
      <c r="E10" s="6" t="s">
        <v>76</v>
      </c>
      <c r="F10" s="6">
        <v>7</v>
      </c>
      <c r="G10" s="19">
        <v>1</v>
      </c>
      <c r="H10" s="86">
        <f t="shared" si="0"/>
        <v>0.14285714285714285</v>
      </c>
      <c r="I10" s="6">
        <v>15</v>
      </c>
      <c r="J10" s="6">
        <v>0</v>
      </c>
      <c r="K10" s="6">
        <v>0</v>
      </c>
    </row>
    <row r="11" spans="1:11" x14ac:dyDescent="0.2">
      <c r="A11" s="5">
        <v>39331</v>
      </c>
      <c r="B11" s="6">
        <v>2</v>
      </c>
      <c r="C11" s="8" t="s">
        <v>77</v>
      </c>
      <c r="D11" s="52" t="s">
        <v>180</v>
      </c>
      <c r="E11" s="6" t="s">
        <v>76</v>
      </c>
      <c r="F11" s="6">
        <v>7</v>
      </c>
      <c r="G11" s="19">
        <v>6</v>
      </c>
      <c r="H11" s="86">
        <f t="shared" si="0"/>
        <v>0.8571428571428571</v>
      </c>
      <c r="I11" s="6">
        <v>40</v>
      </c>
      <c r="J11" s="6">
        <v>0</v>
      </c>
      <c r="K11" s="6">
        <v>1</v>
      </c>
    </row>
    <row r="12" spans="1:11" x14ac:dyDescent="0.2">
      <c r="A12" s="5">
        <v>39339</v>
      </c>
      <c r="B12" s="6">
        <v>3</v>
      </c>
      <c r="C12" s="8" t="s">
        <v>77</v>
      </c>
      <c r="D12" s="52" t="s">
        <v>180</v>
      </c>
      <c r="E12" s="6" t="s">
        <v>76</v>
      </c>
      <c r="F12" s="6">
        <v>7</v>
      </c>
      <c r="G12" s="19">
        <v>9</v>
      </c>
      <c r="H12" s="86">
        <f t="shared" si="0"/>
        <v>1.2857142857142858</v>
      </c>
      <c r="I12" s="6">
        <v>26</v>
      </c>
      <c r="J12" s="6">
        <v>0</v>
      </c>
      <c r="K12" s="6">
        <v>8</v>
      </c>
    </row>
    <row r="13" spans="1:11" x14ac:dyDescent="0.2">
      <c r="A13" s="5">
        <v>39346</v>
      </c>
      <c r="B13" s="6">
        <v>4</v>
      </c>
      <c r="C13" s="8" t="s">
        <v>77</v>
      </c>
      <c r="D13" s="52" t="s">
        <v>180</v>
      </c>
      <c r="E13" s="6" t="s">
        <v>76</v>
      </c>
      <c r="F13" s="6">
        <v>7</v>
      </c>
      <c r="G13" s="19">
        <v>7</v>
      </c>
      <c r="H13" s="86">
        <f t="shared" si="0"/>
        <v>1</v>
      </c>
      <c r="I13" s="6">
        <v>11</v>
      </c>
      <c r="J13" s="6">
        <v>0</v>
      </c>
      <c r="K13" s="6">
        <v>9</v>
      </c>
    </row>
    <row r="14" spans="1:11" x14ac:dyDescent="0.2">
      <c r="A14" s="5">
        <v>39352</v>
      </c>
      <c r="B14" s="6">
        <v>5</v>
      </c>
      <c r="C14" s="8" t="s">
        <v>77</v>
      </c>
      <c r="D14" s="52" t="s">
        <v>180</v>
      </c>
      <c r="E14" s="6" t="s">
        <v>76</v>
      </c>
      <c r="F14" s="6">
        <v>7</v>
      </c>
      <c r="G14" s="19">
        <v>2</v>
      </c>
      <c r="H14" s="86">
        <f t="shared" si="0"/>
        <v>0.2857142857142857</v>
      </c>
      <c r="I14" s="6">
        <v>3</v>
      </c>
      <c r="J14" s="6">
        <v>0</v>
      </c>
      <c r="K14" s="6">
        <v>1</v>
      </c>
    </row>
    <row r="15" spans="1:11" x14ac:dyDescent="0.2">
      <c r="A15" s="5">
        <v>39325</v>
      </c>
      <c r="B15" s="6">
        <v>1</v>
      </c>
      <c r="C15" s="8" t="s">
        <v>74</v>
      </c>
      <c r="D15" s="52" t="s">
        <v>177</v>
      </c>
      <c r="E15" s="6" t="s">
        <v>75</v>
      </c>
      <c r="F15" s="6">
        <v>6</v>
      </c>
      <c r="G15" s="19">
        <v>1</v>
      </c>
      <c r="H15" s="86">
        <f t="shared" si="0"/>
        <v>0.16666666666666666</v>
      </c>
      <c r="I15" s="6">
        <v>4</v>
      </c>
      <c r="J15" s="6">
        <v>0</v>
      </c>
      <c r="K15" s="6">
        <v>1</v>
      </c>
    </row>
    <row r="16" spans="1:11" x14ac:dyDescent="0.2">
      <c r="A16" s="5">
        <v>39331</v>
      </c>
      <c r="B16" s="6">
        <v>2</v>
      </c>
      <c r="C16" s="8" t="s">
        <v>74</v>
      </c>
      <c r="D16" s="52" t="s">
        <v>177</v>
      </c>
      <c r="E16" s="6" t="s">
        <v>75</v>
      </c>
      <c r="F16" s="6">
        <v>6</v>
      </c>
      <c r="G16" s="19">
        <v>3</v>
      </c>
      <c r="H16" s="86">
        <f t="shared" si="0"/>
        <v>0.5</v>
      </c>
      <c r="I16" s="6">
        <v>6</v>
      </c>
      <c r="J16" s="6">
        <v>0</v>
      </c>
      <c r="K16" s="6">
        <v>0</v>
      </c>
    </row>
    <row r="17" spans="1:11" x14ac:dyDescent="0.2">
      <c r="A17" s="5">
        <v>39339</v>
      </c>
      <c r="B17" s="6">
        <v>3</v>
      </c>
      <c r="C17" s="8" t="s">
        <v>74</v>
      </c>
      <c r="D17" s="52" t="s">
        <v>177</v>
      </c>
      <c r="E17" s="6" t="s">
        <v>75</v>
      </c>
      <c r="F17" s="6">
        <v>6</v>
      </c>
      <c r="G17" s="19">
        <v>15</v>
      </c>
      <c r="H17" s="86">
        <f t="shared" si="0"/>
        <v>2.5</v>
      </c>
      <c r="I17" s="6">
        <v>52</v>
      </c>
      <c r="J17" s="6">
        <v>0</v>
      </c>
      <c r="K17" s="6">
        <v>2</v>
      </c>
    </row>
    <row r="18" spans="1:11" x14ac:dyDescent="0.2">
      <c r="A18" s="5">
        <v>39346</v>
      </c>
      <c r="B18" s="6">
        <v>4</v>
      </c>
      <c r="C18" s="8" t="s">
        <v>74</v>
      </c>
      <c r="D18" s="52" t="s">
        <v>177</v>
      </c>
      <c r="E18" s="6" t="s">
        <v>75</v>
      </c>
      <c r="F18" s="6">
        <v>6</v>
      </c>
      <c r="G18" s="19">
        <v>14</v>
      </c>
      <c r="H18" s="86">
        <f t="shared" si="0"/>
        <v>2.3333333333333335</v>
      </c>
      <c r="I18" s="6">
        <v>31</v>
      </c>
      <c r="J18" s="6">
        <v>0</v>
      </c>
      <c r="K18" s="6">
        <v>3</v>
      </c>
    </row>
    <row r="19" spans="1:11" x14ac:dyDescent="0.2">
      <c r="A19" s="5">
        <v>39352</v>
      </c>
      <c r="B19" s="6">
        <v>5</v>
      </c>
      <c r="C19" s="8" t="s">
        <v>74</v>
      </c>
      <c r="D19" s="52" t="s">
        <v>177</v>
      </c>
      <c r="E19" s="6" t="s">
        <v>75</v>
      </c>
      <c r="F19" s="6">
        <v>6</v>
      </c>
      <c r="G19" s="19">
        <v>9</v>
      </c>
      <c r="H19" s="86">
        <f t="shared" si="0"/>
        <v>1.5</v>
      </c>
      <c r="I19" s="6">
        <v>8</v>
      </c>
      <c r="J19" s="6">
        <v>0</v>
      </c>
      <c r="K19" s="6">
        <v>10</v>
      </c>
    </row>
    <row r="20" spans="1:11" x14ac:dyDescent="0.2">
      <c r="A20" s="5">
        <v>39325</v>
      </c>
      <c r="B20" s="6">
        <v>1</v>
      </c>
      <c r="C20" s="8" t="s">
        <v>86</v>
      </c>
      <c r="D20" s="52" t="s">
        <v>186</v>
      </c>
      <c r="E20" s="6" t="s">
        <v>85</v>
      </c>
      <c r="F20" s="6">
        <v>6</v>
      </c>
      <c r="G20" s="19">
        <v>0</v>
      </c>
      <c r="H20" s="86">
        <f t="shared" si="0"/>
        <v>0</v>
      </c>
      <c r="I20" s="6">
        <v>11</v>
      </c>
      <c r="J20" s="6">
        <v>0</v>
      </c>
      <c r="K20" s="6">
        <v>0</v>
      </c>
    </row>
    <row r="21" spans="1:11" x14ac:dyDescent="0.2">
      <c r="A21" s="5">
        <v>39331</v>
      </c>
      <c r="B21" s="6">
        <v>2</v>
      </c>
      <c r="C21" s="8" t="s">
        <v>86</v>
      </c>
      <c r="D21" s="52" t="s">
        <v>186</v>
      </c>
      <c r="E21" s="6" t="s">
        <v>85</v>
      </c>
      <c r="F21" s="6">
        <v>6</v>
      </c>
      <c r="G21" s="19">
        <v>0</v>
      </c>
      <c r="H21" s="86">
        <f t="shared" si="0"/>
        <v>0</v>
      </c>
      <c r="I21" s="6">
        <v>2</v>
      </c>
      <c r="J21" s="6">
        <v>0</v>
      </c>
      <c r="K21" s="6">
        <v>1</v>
      </c>
    </row>
    <row r="22" spans="1:11" x14ac:dyDescent="0.2">
      <c r="A22" s="5">
        <v>39339</v>
      </c>
      <c r="B22" s="6">
        <v>3</v>
      </c>
      <c r="C22" s="8" t="s">
        <v>86</v>
      </c>
      <c r="D22" s="52" t="s">
        <v>186</v>
      </c>
      <c r="E22" s="6" t="s">
        <v>85</v>
      </c>
      <c r="F22" s="6">
        <v>6</v>
      </c>
      <c r="G22" s="19">
        <v>5</v>
      </c>
      <c r="H22" s="86">
        <f t="shared" si="0"/>
        <v>0.83333333333333337</v>
      </c>
      <c r="I22" s="6">
        <v>15</v>
      </c>
      <c r="J22" s="6">
        <v>0</v>
      </c>
      <c r="K22" s="6">
        <v>2</v>
      </c>
    </row>
    <row r="23" spans="1:11" x14ac:dyDescent="0.2">
      <c r="A23" s="5">
        <v>39346</v>
      </c>
      <c r="B23" s="6">
        <v>4</v>
      </c>
      <c r="C23" s="8" t="s">
        <v>86</v>
      </c>
      <c r="D23" s="52" t="s">
        <v>186</v>
      </c>
      <c r="E23" s="6" t="s">
        <v>85</v>
      </c>
      <c r="F23" s="6">
        <v>6</v>
      </c>
      <c r="G23" s="19">
        <v>6</v>
      </c>
      <c r="H23" s="86">
        <f t="shared" si="0"/>
        <v>1</v>
      </c>
      <c r="I23" s="6">
        <v>17</v>
      </c>
      <c r="J23" s="6">
        <v>0</v>
      </c>
      <c r="K23" s="6">
        <v>0</v>
      </c>
    </row>
    <row r="24" spans="1:11" x14ac:dyDescent="0.2">
      <c r="A24" s="5">
        <v>39352</v>
      </c>
      <c r="B24" s="6">
        <v>5</v>
      </c>
      <c r="C24" s="8" t="s">
        <v>86</v>
      </c>
      <c r="D24" s="52" t="s">
        <v>186</v>
      </c>
      <c r="E24" s="6" t="s">
        <v>85</v>
      </c>
      <c r="F24" s="6">
        <v>6</v>
      </c>
      <c r="G24" s="19">
        <v>1</v>
      </c>
      <c r="H24" s="86">
        <f t="shared" si="0"/>
        <v>0.16666666666666666</v>
      </c>
      <c r="I24" s="6">
        <v>3</v>
      </c>
      <c r="J24" s="6">
        <v>0</v>
      </c>
      <c r="K24" s="6">
        <v>5</v>
      </c>
    </row>
    <row r="25" spans="1:11" x14ac:dyDescent="0.2">
      <c r="A25" s="5">
        <v>39331</v>
      </c>
      <c r="B25" s="6">
        <v>1</v>
      </c>
      <c r="C25" s="8" t="s">
        <v>35</v>
      </c>
      <c r="D25" s="8">
        <v>9</v>
      </c>
      <c r="E25" s="6" t="s">
        <v>17</v>
      </c>
      <c r="F25" s="6">
        <v>4</v>
      </c>
      <c r="G25" s="19">
        <v>2</v>
      </c>
      <c r="H25" s="86">
        <f t="shared" si="0"/>
        <v>0.5</v>
      </c>
      <c r="I25" s="6">
        <v>2</v>
      </c>
      <c r="J25" s="6">
        <v>0</v>
      </c>
      <c r="K25" s="6">
        <v>1</v>
      </c>
    </row>
    <row r="26" spans="1:11" x14ac:dyDescent="0.2">
      <c r="A26" s="5">
        <v>39339</v>
      </c>
      <c r="B26" s="6">
        <v>2</v>
      </c>
      <c r="C26" s="8" t="s">
        <v>89</v>
      </c>
      <c r="D26" s="52" t="s">
        <v>187</v>
      </c>
      <c r="E26" s="6" t="s">
        <v>87</v>
      </c>
      <c r="F26" s="6">
        <v>9</v>
      </c>
      <c r="G26" s="19">
        <v>3</v>
      </c>
      <c r="H26" s="86">
        <f t="shared" si="0"/>
        <v>0.33333333333333331</v>
      </c>
      <c r="I26" s="6">
        <v>15</v>
      </c>
      <c r="J26" s="6">
        <v>0</v>
      </c>
      <c r="K26" s="6">
        <v>1</v>
      </c>
    </row>
    <row r="27" spans="1:11" x14ac:dyDescent="0.2">
      <c r="A27" s="5">
        <v>39346</v>
      </c>
      <c r="B27" s="6">
        <v>3</v>
      </c>
      <c r="C27" s="8" t="s">
        <v>89</v>
      </c>
      <c r="D27" s="52" t="s">
        <v>187</v>
      </c>
      <c r="E27" s="6" t="s">
        <v>87</v>
      </c>
      <c r="F27" s="6">
        <v>9</v>
      </c>
      <c r="G27" s="19">
        <v>9</v>
      </c>
      <c r="H27" s="86">
        <f t="shared" si="0"/>
        <v>1</v>
      </c>
      <c r="I27" s="6">
        <v>27</v>
      </c>
      <c r="J27" s="6">
        <v>0</v>
      </c>
      <c r="K27" s="6">
        <v>6</v>
      </c>
    </row>
    <row r="28" spans="1:11" x14ac:dyDescent="0.2">
      <c r="A28" s="5">
        <v>39352</v>
      </c>
      <c r="B28" s="6">
        <v>4</v>
      </c>
      <c r="C28" s="8" t="s">
        <v>89</v>
      </c>
      <c r="D28" s="52" t="s">
        <v>187</v>
      </c>
      <c r="E28" s="6" t="s">
        <v>87</v>
      </c>
      <c r="F28" s="6">
        <v>9</v>
      </c>
      <c r="G28" s="19">
        <v>2</v>
      </c>
      <c r="H28" s="86">
        <f t="shared" si="0"/>
        <v>0.22222222222222221</v>
      </c>
      <c r="I28" s="6">
        <v>5</v>
      </c>
      <c r="J28" s="6">
        <v>0</v>
      </c>
      <c r="K28" s="6">
        <v>8</v>
      </c>
    </row>
    <row r="29" spans="1:11" x14ac:dyDescent="0.2">
      <c r="A29" s="5">
        <v>39331</v>
      </c>
      <c r="B29" s="6">
        <v>1</v>
      </c>
      <c r="C29" s="8" t="s">
        <v>36</v>
      </c>
      <c r="D29" s="8">
        <v>10</v>
      </c>
      <c r="E29" s="6" t="s">
        <v>18</v>
      </c>
      <c r="F29" s="6">
        <v>5</v>
      </c>
      <c r="G29" s="19">
        <v>0</v>
      </c>
      <c r="H29" s="86">
        <f t="shared" si="0"/>
        <v>0</v>
      </c>
      <c r="I29" s="6">
        <v>0</v>
      </c>
      <c r="J29" s="6">
        <v>0</v>
      </c>
      <c r="K29" s="6">
        <v>0</v>
      </c>
    </row>
    <row r="30" spans="1:11" x14ac:dyDescent="0.2">
      <c r="A30" s="5">
        <v>39339</v>
      </c>
      <c r="B30" s="6">
        <v>1</v>
      </c>
      <c r="C30" s="8" t="s">
        <v>90</v>
      </c>
      <c r="D30" s="52" t="s">
        <v>181</v>
      </c>
      <c r="E30" s="6" t="s">
        <v>88</v>
      </c>
      <c r="F30" s="6">
        <v>5</v>
      </c>
      <c r="G30" s="19">
        <v>1</v>
      </c>
      <c r="H30" s="86">
        <f t="shared" si="0"/>
        <v>0.2</v>
      </c>
      <c r="I30" s="6">
        <v>0</v>
      </c>
      <c r="J30" s="6">
        <v>0</v>
      </c>
      <c r="K30" s="6">
        <v>0</v>
      </c>
    </row>
    <row r="31" spans="1:11" ht="13.5" thickBot="1" x14ac:dyDescent="0.25">
      <c r="A31" s="5">
        <v>39352</v>
      </c>
      <c r="B31" s="6">
        <v>2</v>
      </c>
      <c r="C31" s="8" t="s">
        <v>90</v>
      </c>
      <c r="D31" s="52" t="s">
        <v>181</v>
      </c>
      <c r="E31" s="6" t="s">
        <v>88</v>
      </c>
      <c r="F31" s="80">
        <v>5</v>
      </c>
      <c r="G31" s="84">
        <v>3</v>
      </c>
      <c r="H31" s="87">
        <f t="shared" si="0"/>
        <v>0.6</v>
      </c>
      <c r="I31" s="80">
        <v>0</v>
      </c>
      <c r="J31" s="80">
        <v>0</v>
      </c>
      <c r="K31" s="80">
        <v>4</v>
      </c>
    </row>
    <row r="32" spans="1:11" x14ac:dyDescent="0.2">
      <c r="F32" s="3">
        <f>SUM(F4:F31)</f>
        <v>204</v>
      </c>
      <c r="G32" s="3">
        <f>SUM(G4:G31)</f>
        <v>117</v>
      </c>
      <c r="H32" s="88">
        <f t="shared" si="0"/>
        <v>0.57352941176470584</v>
      </c>
      <c r="I32" s="3">
        <f t="shared" ref="I32:K32" si="1">SUM(I4:I31)</f>
        <v>327</v>
      </c>
      <c r="J32" s="3">
        <f t="shared" si="1"/>
        <v>0</v>
      </c>
      <c r="K32" s="3">
        <f t="shared" si="1"/>
        <v>65</v>
      </c>
    </row>
    <row r="35" spans="1:11" x14ac:dyDescent="0.2">
      <c r="A35" s="6"/>
      <c r="B35" s="6"/>
      <c r="C35" s="103" t="s">
        <v>208</v>
      </c>
      <c r="D35" s="103"/>
      <c r="E35" s="103"/>
      <c r="F35" s="6"/>
      <c r="G35" s="6"/>
      <c r="H35" s="6"/>
      <c r="I35" s="6"/>
      <c r="J35" s="6"/>
      <c r="K35" s="6"/>
    </row>
    <row r="36" spans="1:11" x14ac:dyDescent="0.2">
      <c r="A36" s="6"/>
      <c r="B36" s="6"/>
      <c r="C36" s="8"/>
      <c r="G36" s="6"/>
      <c r="H36" s="6"/>
      <c r="I36" s="6"/>
      <c r="J36" s="6"/>
      <c r="K36" s="6"/>
    </row>
    <row r="37" spans="1:11" x14ac:dyDescent="0.2">
      <c r="A37" s="6"/>
      <c r="B37" s="6"/>
      <c r="C37" s="8"/>
      <c r="D37" s="8"/>
      <c r="E37" s="6"/>
      <c r="F37" s="6"/>
      <c r="G37" s="6"/>
      <c r="H37" s="6"/>
      <c r="I37" s="6"/>
      <c r="J37" s="6"/>
      <c r="K37" s="6"/>
    </row>
    <row r="38" spans="1:11" x14ac:dyDescent="0.2">
      <c r="A38" s="6"/>
      <c r="B38" s="6"/>
      <c r="C38" s="8"/>
      <c r="D38" s="8"/>
      <c r="E38" s="6"/>
      <c r="F38" s="6"/>
      <c r="G38" s="6"/>
      <c r="H38" s="6"/>
      <c r="I38" s="6"/>
      <c r="J38" s="6"/>
      <c r="K38" s="6"/>
    </row>
    <row r="39" spans="1:11" x14ac:dyDescent="0.2">
      <c r="A39" s="6"/>
      <c r="B39" s="6"/>
      <c r="C39" s="8"/>
      <c r="D39" s="8"/>
      <c r="E39" s="6"/>
      <c r="F39" s="6"/>
      <c r="G39" s="6"/>
      <c r="H39" s="6"/>
      <c r="I39" s="6"/>
      <c r="J39" s="6"/>
      <c r="K39" s="6"/>
    </row>
    <row r="40" spans="1:11" x14ac:dyDescent="0.2">
      <c r="A40" s="6"/>
      <c r="B40" s="6"/>
      <c r="C40" s="8"/>
      <c r="D40" s="8"/>
      <c r="E40" s="6"/>
      <c r="F40" s="6"/>
      <c r="G40" s="6"/>
      <c r="H40" s="6"/>
      <c r="I40" s="6"/>
      <c r="J40" s="6"/>
      <c r="K40" s="6"/>
    </row>
    <row r="41" spans="1:11" x14ac:dyDescent="0.2">
      <c r="A41" s="6"/>
      <c r="B41" s="6"/>
      <c r="C41" s="8"/>
      <c r="D41" s="8"/>
      <c r="E41" s="6"/>
      <c r="F41" s="6"/>
      <c r="G41" s="6"/>
      <c r="H41" s="6"/>
      <c r="I41" s="6"/>
      <c r="J41" s="6"/>
      <c r="K41" s="6"/>
    </row>
    <row r="42" spans="1:11" x14ac:dyDescent="0.2">
      <c r="A42" s="6"/>
      <c r="B42" s="6"/>
      <c r="C42" s="8"/>
      <c r="D42" s="8"/>
      <c r="E42" s="6"/>
      <c r="F42" s="6"/>
      <c r="G42" s="6"/>
      <c r="H42" s="6"/>
      <c r="I42" s="6"/>
      <c r="J42" s="6"/>
      <c r="K42" s="6"/>
    </row>
    <row r="43" spans="1:11" x14ac:dyDescent="0.2">
      <c r="A43" s="6"/>
      <c r="B43" s="6"/>
      <c r="C43" s="8"/>
      <c r="D43" s="8"/>
      <c r="E43" s="6"/>
      <c r="F43" s="6"/>
      <c r="G43" s="6"/>
      <c r="H43" s="6"/>
      <c r="I43" s="6"/>
      <c r="J43" s="6"/>
      <c r="K43" s="6"/>
    </row>
    <row r="44" spans="1:11" x14ac:dyDescent="0.2">
      <c r="A44" s="6"/>
      <c r="B44" s="6"/>
      <c r="C44" s="8"/>
      <c r="D44" s="8"/>
      <c r="E44" s="6"/>
      <c r="F44" s="6"/>
      <c r="G44" s="6"/>
      <c r="H44" s="6"/>
      <c r="I44" s="6"/>
      <c r="J44" s="6"/>
      <c r="K44" s="6"/>
    </row>
    <row r="45" spans="1:11" x14ac:dyDescent="0.2">
      <c r="A45" s="6"/>
      <c r="B45" s="6"/>
      <c r="C45" s="8"/>
      <c r="D45" s="8"/>
      <c r="E45" s="6"/>
      <c r="F45" s="6"/>
      <c r="G45" s="6"/>
      <c r="H45" s="6"/>
      <c r="I45" s="6"/>
      <c r="J45" s="6"/>
      <c r="K45" s="6"/>
    </row>
    <row r="46" spans="1:11" x14ac:dyDescent="0.2">
      <c r="A46" s="6"/>
      <c r="B46" s="6"/>
      <c r="C46" s="8"/>
      <c r="D46" s="8"/>
      <c r="E46" s="6"/>
      <c r="F46" s="6"/>
      <c r="G46" s="6"/>
      <c r="H46" s="6"/>
      <c r="I46" s="6"/>
      <c r="J46" s="6"/>
      <c r="K46" s="6"/>
    </row>
    <row r="47" spans="1:11" x14ac:dyDescent="0.2">
      <c r="A47" s="6"/>
      <c r="B47" s="6"/>
      <c r="C47" s="8"/>
      <c r="D47" s="8"/>
      <c r="E47" s="6"/>
      <c r="F47" s="6"/>
      <c r="G47" s="6"/>
      <c r="H47" s="6"/>
      <c r="I47" s="6"/>
      <c r="J47" s="6"/>
      <c r="K47" s="6"/>
    </row>
    <row r="48" spans="1:11" x14ac:dyDescent="0.2">
      <c r="A48" s="6"/>
      <c r="B48" s="6"/>
      <c r="C48" s="8"/>
      <c r="D48" s="8"/>
      <c r="E48" s="6"/>
      <c r="F48" s="6"/>
      <c r="G48" s="6"/>
      <c r="H48" s="6"/>
      <c r="I48" s="6"/>
      <c r="J48" s="6"/>
      <c r="K48" s="6"/>
    </row>
    <row r="49" spans="1:11" x14ac:dyDescent="0.2">
      <c r="A49" s="6"/>
      <c r="B49" s="6"/>
      <c r="C49" s="8"/>
      <c r="D49" s="8"/>
      <c r="E49" s="6"/>
      <c r="F49" s="6"/>
      <c r="G49" s="6"/>
      <c r="H49" s="6"/>
      <c r="I49" s="6"/>
      <c r="J49" s="6"/>
      <c r="K49" s="6"/>
    </row>
    <row r="50" spans="1:11" x14ac:dyDescent="0.2">
      <c r="A50" s="6"/>
      <c r="B50" s="6"/>
      <c r="C50" s="8"/>
      <c r="D50" s="8"/>
      <c r="E50" s="6"/>
      <c r="F50" s="6"/>
      <c r="G50" s="6"/>
      <c r="H50" s="6"/>
      <c r="I50" s="6"/>
      <c r="J50" s="6"/>
      <c r="K50" s="6"/>
    </row>
    <row r="51" spans="1:11" x14ac:dyDescent="0.2">
      <c r="A51" s="6"/>
      <c r="B51" s="6"/>
      <c r="C51" s="8"/>
      <c r="D51" s="8"/>
      <c r="E51" s="6"/>
      <c r="F51" s="6"/>
      <c r="G51" s="6"/>
      <c r="H51" s="6"/>
      <c r="I51" s="6"/>
      <c r="J51" s="6"/>
      <c r="K51" s="6"/>
    </row>
    <row r="52" spans="1:11" x14ac:dyDescent="0.2">
      <c r="A52" s="6"/>
      <c r="B52" s="6"/>
      <c r="C52" s="8"/>
      <c r="D52" s="8"/>
      <c r="E52" s="6"/>
      <c r="F52" s="6"/>
      <c r="G52" s="6"/>
      <c r="H52" s="6"/>
      <c r="I52" s="6"/>
      <c r="J52" s="6"/>
      <c r="K52" s="6"/>
    </row>
    <row r="53" spans="1:11" x14ac:dyDescent="0.2">
      <c r="A53" s="6"/>
      <c r="B53" s="6"/>
      <c r="C53" s="8"/>
      <c r="D53" s="8"/>
      <c r="E53" s="6"/>
      <c r="F53" s="6"/>
      <c r="G53" s="6"/>
      <c r="H53" s="6"/>
      <c r="I53" s="6"/>
      <c r="J53" s="6"/>
      <c r="K53" s="6"/>
    </row>
    <row r="54" spans="1:11" x14ac:dyDescent="0.2">
      <c r="A54" s="6"/>
      <c r="B54" s="6"/>
      <c r="C54" s="8"/>
      <c r="D54" s="8"/>
      <c r="E54" s="6"/>
      <c r="F54" s="6"/>
      <c r="G54" s="6"/>
      <c r="H54" s="6"/>
      <c r="I54" s="6"/>
      <c r="J54" s="6"/>
      <c r="K54" s="6"/>
    </row>
    <row r="55" spans="1:11" x14ac:dyDescent="0.2">
      <c r="A55" s="6"/>
      <c r="B55" s="6"/>
      <c r="C55" s="8"/>
      <c r="D55" s="8"/>
      <c r="E55" s="6"/>
      <c r="F55" s="6"/>
      <c r="G55" s="6"/>
      <c r="H55" s="6"/>
      <c r="I55" s="6"/>
      <c r="J55" s="6"/>
      <c r="K55" s="6"/>
    </row>
    <row r="56" spans="1:11" x14ac:dyDescent="0.2">
      <c r="A56" s="6"/>
      <c r="B56" s="6"/>
      <c r="C56" s="8"/>
      <c r="D56" s="8"/>
      <c r="E56" s="6"/>
      <c r="F56" s="6"/>
      <c r="G56" s="6"/>
      <c r="H56" s="6"/>
      <c r="I56" s="6"/>
      <c r="J56" s="6"/>
      <c r="K56" s="6"/>
    </row>
    <row r="57" spans="1:11" x14ac:dyDescent="0.2">
      <c r="A57" s="6"/>
      <c r="B57" s="6"/>
      <c r="C57" s="8"/>
      <c r="D57" s="8"/>
      <c r="E57" s="6"/>
      <c r="F57" s="6"/>
      <c r="G57" s="6"/>
      <c r="H57" s="6"/>
      <c r="I57" s="6"/>
      <c r="J57" s="6"/>
      <c r="K57" s="6"/>
    </row>
    <row r="58" spans="1:11" x14ac:dyDescent="0.2">
      <c r="A58" s="6"/>
      <c r="B58" s="6"/>
      <c r="C58" s="8"/>
      <c r="D58" s="8"/>
      <c r="E58" s="6"/>
      <c r="F58" s="6"/>
      <c r="G58" s="6"/>
      <c r="H58" s="6"/>
      <c r="I58" s="6"/>
      <c r="J58" s="6"/>
      <c r="K58" s="6"/>
    </row>
    <row r="59" spans="1:11" x14ac:dyDescent="0.2">
      <c r="A59" s="6"/>
      <c r="B59" s="6"/>
      <c r="C59" s="8"/>
      <c r="D59" s="8"/>
      <c r="E59" s="6"/>
      <c r="F59" s="6"/>
      <c r="G59" s="6"/>
      <c r="H59" s="6"/>
      <c r="I59" s="6"/>
      <c r="J59" s="6"/>
      <c r="K59" s="6"/>
    </row>
    <row r="60" spans="1:11" x14ac:dyDescent="0.2">
      <c r="A60" s="6"/>
      <c r="B60" s="6"/>
      <c r="C60" s="8"/>
      <c r="D60" s="8"/>
      <c r="E60" s="6"/>
      <c r="F60" s="6"/>
      <c r="G60" s="6"/>
      <c r="H60" s="6"/>
      <c r="I60" s="6"/>
      <c r="J60" s="6"/>
      <c r="K60" s="6"/>
    </row>
    <row r="61" spans="1:11" x14ac:dyDescent="0.2">
      <c r="A61" s="6"/>
      <c r="B61" s="6"/>
      <c r="C61" s="8"/>
      <c r="D61" s="8"/>
      <c r="E61" s="6"/>
      <c r="F61" s="6"/>
      <c r="G61" s="6"/>
      <c r="H61" s="6"/>
      <c r="I61" s="6"/>
      <c r="J61" s="6"/>
      <c r="K61" s="6"/>
    </row>
    <row r="62" spans="1:11" x14ac:dyDescent="0.2">
      <c r="A62" s="6"/>
      <c r="B62" s="6"/>
      <c r="C62" s="8"/>
      <c r="D62" s="8"/>
      <c r="E62" s="6"/>
      <c r="F62" s="6"/>
      <c r="G62" s="6"/>
      <c r="H62" s="6"/>
      <c r="I62" s="6"/>
      <c r="J62" s="6"/>
      <c r="K62" s="6"/>
    </row>
    <row r="63" spans="1:11" x14ac:dyDescent="0.2">
      <c r="A63" s="6"/>
      <c r="B63" s="6"/>
      <c r="C63" s="8"/>
      <c r="D63" s="8"/>
      <c r="E63" s="6"/>
      <c r="F63" s="6"/>
      <c r="G63" s="6"/>
      <c r="H63" s="6"/>
      <c r="I63" s="6"/>
      <c r="J63" s="6"/>
      <c r="K63" s="6"/>
    </row>
    <row r="64" spans="1:11" x14ac:dyDescent="0.2">
      <c r="A64" s="6"/>
      <c r="B64" s="6"/>
      <c r="C64" s="8"/>
      <c r="D64" s="8"/>
      <c r="E64" s="6"/>
      <c r="F64" s="6"/>
      <c r="G64" s="6"/>
      <c r="H64" s="6"/>
      <c r="I64" s="6"/>
      <c r="J64" s="6"/>
      <c r="K64" s="6"/>
    </row>
    <row r="65" spans="1:11" x14ac:dyDescent="0.2">
      <c r="A65" s="6"/>
      <c r="B65" s="6"/>
      <c r="C65" s="8"/>
      <c r="D65" s="8"/>
      <c r="E65" s="6"/>
      <c r="F65" s="6"/>
      <c r="G65" s="6"/>
      <c r="H65" s="6"/>
      <c r="I65" s="6"/>
      <c r="J65" s="6"/>
      <c r="K65" s="6"/>
    </row>
    <row r="66" spans="1:11" x14ac:dyDescent="0.2">
      <c r="A66" s="6"/>
      <c r="B66" s="6"/>
      <c r="C66" s="8"/>
      <c r="D66" s="8"/>
      <c r="E66" s="6"/>
      <c r="F66" s="6"/>
      <c r="G66" s="6"/>
      <c r="H66" s="6"/>
      <c r="I66" s="6"/>
      <c r="J66" s="6"/>
      <c r="K66" s="6"/>
    </row>
    <row r="67" spans="1:11" x14ac:dyDescent="0.2">
      <c r="A67" s="6"/>
      <c r="B67" s="6"/>
      <c r="C67" s="8"/>
      <c r="D67" s="8"/>
      <c r="E67" s="6"/>
      <c r="F67" s="6"/>
      <c r="G67" s="6"/>
      <c r="H67" s="6"/>
      <c r="I67" s="6"/>
      <c r="J67" s="6"/>
      <c r="K67" s="6"/>
    </row>
    <row r="68" spans="1:11" x14ac:dyDescent="0.2">
      <c r="A68" s="6"/>
      <c r="B68" s="6"/>
      <c r="C68" s="8"/>
      <c r="D68" s="8"/>
      <c r="E68" s="6"/>
      <c r="F68" s="6"/>
      <c r="G68" s="6"/>
      <c r="H68" s="6"/>
      <c r="I68" s="6"/>
      <c r="J68" s="6"/>
      <c r="K68" s="6"/>
    </row>
    <row r="69" spans="1:11" x14ac:dyDescent="0.2">
      <c r="A69" s="6"/>
      <c r="B69" s="6"/>
      <c r="C69" s="8"/>
      <c r="D69" s="8"/>
      <c r="E69" s="6"/>
      <c r="F69" s="6"/>
      <c r="G69" s="6"/>
      <c r="H69" s="6"/>
      <c r="I69" s="6"/>
      <c r="J69" s="6"/>
      <c r="K69" s="6"/>
    </row>
    <row r="70" spans="1:11" x14ac:dyDescent="0.2">
      <c r="A70" s="6"/>
      <c r="B70" s="6"/>
      <c r="C70" s="8"/>
      <c r="D70" s="8"/>
      <c r="E70" s="6"/>
      <c r="F70" s="6"/>
      <c r="G70" s="6"/>
      <c r="H70" s="6"/>
      <c r="I70" s="6"/>
      <c r="J70" s="6"/>
      <c r="K70" s="6"/>
    </row>
    <row r="71" spans="1:11" x14ac:dyDescent="0.2">
      <c r="A71" s="6"/>
      <c r="B71" s="6"/>
      <c r="C71" s="8"/>
      <c r="D71" s="8"/>
      <c r="E71" s="6"/>
      <c r="F71" s="6"/>
      <c r="G71" s="6"/>
      <c r="H71" s="6"/>
      <c r="I71" s="6"/>
      <c r="J71" s="6"/>
      <c r="K71" s="6"/>
    </row>
    <row r="72" spans="1:11" x14ac:dyDescent="0.2">
      <c r="A72" s="6"/>
      <c r="B72" s="6"/>
      <c r="C72" s="8"/>
      <c r="D72" s="8"/>
      <c r="E72" s="6"/>
      <c r="F72" s="6"/>
      <c r="G72" s="6"/>
      <c r="H72" s="6"/>
      <c r="I72" s="6"/>
      <c r="J72" s="6"/>
      <c r="K72" s="6"/>
    </row>
    <row r="73" spans="1:11" x14ac:dyDescent="0.2">
      <c r="A73" s="6"/>
      <c r="B73" s="6"/>
      <c r="C73" s="8"/>
      <c r="D73" s="8"/>
      <c r="E73" s="6"/>
      <c r="F73" s="6"/>
      <c r="G73" s="6"/>
      <c r="H73" s="6"/>
      <c r="I73" s="6"/>
      <c r="J73" s="6"/>
      <c r="K73" s="6"/>
    </row>
    <row r="74" spans="1:11" x14ac:dyDescent="0.2">
      <c r="A74" s="6"/>
      <c r="B74" s="6"/>
      <c r="C74" s="8"/>
      <c r="D74" s="8"/>
      <c r="E74" s="6"/>
      <c r="F74" s="6"/>
      <c r="G74" s="6"/>
      <c r="H74" s="6"/>
      <c r="I74" s="6"/>
      <c r="J74" s="6"/>
      <c r="K74" s="6"/>
    </row>
    <row r="75" spans="1:11" x14ac:dyDescent="0.2">
      <c r="A75" s="6"/>
      <c r="B75" s="6"/>
      <c r="C75" s="8"/>
      <c r="D75" s="8"/>
      <c r="E75" s="6"/>
      <c r="F75" s="6"/>
      <c r="G75" s="6"/>
      <c r="H75" s="6"/>
      <c r="I75" s="6"/>
      <c r="J75" s="6"/>
      <c r="K75" s="6"/>
    </row>
  </sheetData>
  <sortState xmlns:xlrd2="http://schemas.microsoft.com/office/spreadsheetml/2017/richdata2" ref="A29:K34">
    <sortCondition ref="D29:D34"/>
  </sortState>
  <phoneticPr fontId="0" type="noConversion"/>
  <pageMargins left="0.75" right="0.75" top="1" bottom="1" header="0.5" footer="0.5"/>
  <pageSetup orientation="portrait" r:id="rId1"/>
  <headerFooter alignWithMargins="0"/>
  <ignoredErrors>
    <ignoredError sqref="H32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57"/>
  <sheetViews>
    <sheetView workbookViewId="0">
      <selection activeCell="G22" sqref="G22:G30"/>
    </sheetView>
  </sheetViews>
  <sheetFormatPr defaultRowHeight="12.75" x14ac:dyDescent="0.2"/>
  <cols>
    <col min="5" max="5" width="30.7109375" customWidth="1"/>
  </cols>
  <sheetData>
    <row r="1" spans="1:11" x14ac:dyDescent="0.2">
      <c r="A1" s="2"/>
      <c r="B1" s="2"/>
      <c r="C1" s="2" t="s">
        <v>25</v>
      </c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1" x14ac:dyDescent="0.2">
      <c r="A2" s="2" t="s">
        <v>0</v>
      </c>
      <c r="B2" s="2" t="s">
        <v>1</v>
      </c>
      <c r="C2" s="2" t="s">
        <v>26</v>
      </c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1" ht="13.5" thickBot="1" x14ac:dyDescent="0.25">
      <c r="A3" s="1"/>
      <c r="I3" s="1"/>
      <c r="J3" s="4" t="s">
        <v>6</v>
      </c>
      <c r="K3" s="4" t="s">
        <v>7</v>
      </c>
    </row>
    <row r="4" spans="1:11" x14ac:dyDescent="0.2">
      <c r="A4" s="5">
        <v>39327</v>
      </c>
      <c r="B4" s="6">
        <v>1</v>
      </c>
      <c r="C4" s="8" t="s">
        <v>97</v>
      </c>
      <c r="D4" s="8" t="s">
        <v>183</v>
      </c>
      <c r="E4" s="6" t="s">
        <v>100</v>
      </c>
      <c r="F4" s="6">
        <v>12</v>
      </c>
      <c r="G4" s="6">
        <v>9</v>
      </c>
      <c r="H4" s="6">
        <f>G4/F4</f>
        <v>0.75</v>
      </c>
      <c r="I4" s="6">
        <v>14</v>
      </c>
      <c r="J4" s="6">
        <v>0</v>
      </c>
      <c r="K4" s="6">
        <v>0</v>
      </c>
    </row>
    <row r="5" spans="1:11" x14ac:dyDescent="0.2">
      <c r="A5" s="5">
        <v>39334</v>
      </c>
      <c r="B5" s="6">
        <v>2</v>
      </c>
      <c r="C5" s="8" t="s">
        <v>97</v>
      </c>
      <c r="D5" s="8" t="s">
        <v>183</v>
      </c>
      <c r="E5" s="6" t="s">
        <v>100</v>
      </c>
      <c r="F5" s="6">
        <v>12</v>
      </c>
      <c r="G5" s="6">
        <v>4</v>
      </c>
      <c r="H5" s="86">
        <f t="shared" ref="H5:H31" si="0">G5/F5</f>
        <v>0.33333333333333331</v>
      </c>
      <c r="I5" s="6">
        <v>11</v>
      </c>
      <c r="J5" s="6">
        <v>0</v>
      </c>
      <c r="K5" s="6">
        <v>0</v>
      </c>
    </row>
    <row r="6" spans="1:11" x14ac:dyDescent="0.2">
      <c r="A6" s="5">
        <v>39341</v>
      </c>
      <c r="B6" s="6">
        <v>3</v>
      </c>
      <c r="C6" s="8" t="s">
        <v>97</v>
      </c>
      <c r="D6" s="8" t="s">
        <v>183</v>
      </c>
      <c r="E6" s="6" t="s">
        <v>100</v>
      </c>
      <c r="F6" s="6">
        <v>12</v>
      </c>
      <c r="G6" s="6">
        <v>2</v>
      </c>
      <c r="H6" s="86">
        <f t="shared" si="0"/>
        <v>0.16666666666666666</v>
      </c>
      <c r="I6" s="6">
        <v>5</v>
      </c>
      <c r="J6" s="6">
        <v>0</v>
      </c>
      <c r="K6" s="6">
        <v>0</v>
      </c>
    </row>
    <row r="7" spans="1:11" x14ac:dyDescent="0.2">
      <c r="A7" s="5">
        <v>39327</v>
      </c>
      <c r="B7" s="6">
        <v>1</v>
      </c>
      <c r="C7" s="8" t="s">
        <v>77</v>
      </c>
      <c r="D7" s="52" t="s">
        <v>180</v>
      </c>
      <c r="E7" s="6" t="s">
        <v>76</v>
      </c>
      <c r="F7" s="6">
        <v>7</v>
      </c>
      <c r="G7" s="6">
        <v>19</v>
      </c>
      <c r="H7" s="86">
        <f t="shared" si="0"/>
        <v>2.7142857142857144</v>
      </c>
      <c r="I7" s="6">
        <v>61</v>
      </c>
      <c r="J7" s="6">
        <v>0</v>
      </c>
      <c r="K7" s="6">
        <v>2</v>
      </c>
    </row>
    <row r="8" spans="1:11" x14ac:dyDescent="0.2">
      <c r="A8" s="5">
        <v>39334</v>
      </c>
      <c r="B8" s="6">
        <v>2</v>
      </c>
      <c r="C8" s="8" t="s">
        <v>77</v>
      </c>
      <c r="D8" s="52" t="s">
        <v>180</v>
      </c>
      <c r="E8" s="6" t="s">
        <v>76</v>
      </c>
      <c r="F8" s="6">
        <v>7</v>
      </c>
      <c r="G8" s="6">
        <v>15</v>
      </c>
      <c r="H8" s="86">
        <f t="shared" si="0"/>
        <v>2.1428571428571428</v>
      </c>
      <c r="I8" s="6">
        <v>59</v>
      </c>
      <c r="J8" s="6">
        <v>0</v>
      </c>
      <c r="K8" s="6">
        <v>8</v>
      </c>
    </row>
    <row r="9" spans="1:11" x14ac:dyDescent="0.2">
      <c r="A9" s="5">
        <v>39341</v>
      </c>
      <c r="B9" s="6">
        <v>3</v>
      </c>
      <c r="C9" s="8" t="s">
        <v>77</v>
      </c>
      <c r="D9" s="52" t="s">
        <v>180</v>
      </c>
      <c r="E9" s="6" t="s">
        <v>76</v>
      </c>
      <c r="F9" s="6">
        <v>7</v>
      </c>
      <c r="G9" s="6">
        <v>14</v>
      </c>
      <c r="H9" s="86">
        <f t="shared" si="0"/>
        <v>2</v>
      </c>
      <c r="I9" s="6">
        <v>43</v>
      </c>
      <c r="J9" s="6">
        <v>0</v>
      </c>
      <c r="K9" s="6">
        <v>26</v>
      </c>
    </row>
    <row r="10" spans="1:11" x14ac:dyDescent="0.2">
      <c r="A10" s="5">
        <v>39348</v>
      </c>
      <c r="B10" s="6">
        <v>4</v>
      </c>
      <c r="C10" s="8" t="s">
        <v>77</v>
      </c>
      <c r="D10" s="52" t="s">
        <v>180</v>
      </c>
      <c r="E10" s="6" t="s">
        <v>76</v>
      </c>
      <c r="F10" s="6">
        <v>7</v>
      </c>
      <c r="G10" s="6">
        <v>13</v>
      </c>
      <c r="H10" s="86">
        <f t="shared" si="0"/>
        <v>1.8571428571428572</v>
      </c>
      <c r="I10" s="6">
        <v>14</v>
      </c>
      <c r="J10" s="6">
        <v>0</v>
      </c>
      <c r="K10" s="6">
        <v>7</v>
      </c>
    </row>
    <row r="11" spans="1:11" x14ac:dyDescent="0.2">
      <c r="A11" s="5">
        <v>39355</v>
      </c>
      <c r="B11" s="6">
        <v>5</v>
      </c>
      <c r="C11" s="8" t="s">
        <v>77</v>
      </c>
      <c r="D11" s="52" t="s">
        <v>180</v>
      </c>
      <c r="E11" s="6" t="s">
        <v>76</v>
      </c>
      <c r="F11" s="6">
        <v>7</v>
      </c>
      <c r="G11" s="6">
        <v>5</v>
      </c>
      <c r="H11" s="86">
        <f t="shared" si="0"/>
        <v>0.7142857142857143</v>
      </c>
      <c r="I11" s="6">
        <v>3</v>
      </c>
      <c r="J11" s="6">
        <v>0</v>
      </c>
      <c r="K11" s="6">
        <v>8</v>
      </c>
    </row>
    <row r="12" spans="1:11" x14ac:dyDescent="0.2">
      <c r="A12" s="5">
        <v>39327</v>
      </c>
      <c r="B12" s="6">
        <v>1</v>
      </c>
      <c r="C12" s="8" t="s">
        <v>74</v>
      </c>
      <c r="D12" s="52" t="s">
        <v>177</v>
      </c>
      <c r="E12" s="6" t="s">
        <v>75</v>
      </c>
      <c r="F12" s="6">
        <v>6</v>
      </c>
      <c r="G12" s="6">
        <v>5</v>
      </c>
      <c r="H12" s="86">
        <f t="shared" si="0"/>
        <v>0.83333333333333337</v>
      </c>
      <c r="I12" s="6">
        <v>10</v>
      </c>
      <c r="J12" s="6">
        <v>0</v>
      </c>
      <c r="K12" s="6">
        <v>0</v>
      </c>
    </row>
    <row r="13" spans="1:11" x14ac:dyDescent="0.2">
      <c r="A13" s="5">
        <v>39334</v>
      </c>
      <c r="B13" s="6">
        <v>2</v>
      </c>
      <c r="C13" s="8" t="s">
        <v>74</v>
      </c>
      <c r="D13" s="52" t="s">
        <v>177</v>
      </c>
      <c r="E13" s="6" t="s">
        <v>75</v>
      </c>
      <c r="F13" s="6">
        <v>6</v>
      </c>
      <c r="G13" s="6">
        <v>11</v>
      </c>
      <c r="H13" s="86">
        <f t="shared" si="0"/>
        <v>1.8333333333333333</v>
      </c>
      <c r="I13" s="6">
        <v>30</v>
      </c>
      <c r="J13" s="6">
        <v>0</v>
      </c>
      <c r="K13" s="6">
        <v>5</v>
      </c>
    </row>
    <row r="14" spans="1:11" x14ac:dyDescent="0.2">
      <c r="A14" s="5">
        <v>39341</v>
      </c>
      <c r="B14" s="6">
        <v>3</v>
      </c>
      <c r="C14" s="8" t="s">
        <v>74</v>
      </c>
      <c r="D14" s="52" t="s">
        <v>177</v>
      </c>
      <c r="E14" s="6" t="s">
        <v>75</v>
      </c>
      <c r="F14" s="6">
        <v>6</v>
      </c>
      <c r="G14" s="6">
        <v>12</v>
      </c>
      <c r="H14" s="86">
        <f t="shared" si="0"/>
        <v>2</v>
      </c>
      <c r="I14" s="6">
        <v>34</v>
      </c>
      <c r="J14" s="6">
        <v>0</v>
      </c>
      <c r="K14" s="6">
        <v>5</v>
      </c>
    </row>
    <row r="15" spans="1:11" x14ac:dyDescent="0.2">
      <c r="A15" s="5">
        <v>39348</v>
      </c>
      <c r="B15" s="6">
        <v>4</v>
      </c>
      <c r="C15" s="8" t="s">
        <v>74</v>
      </c>
      <c r="D15" s="52" t="s">
        <v>177</v>
      </c>
      <c r="E15" s="6" t="s">
        <v>75</v>
      </c>
      <c r="F15" s="6">
        <v>6</v>
      </c>
      <c r="G15" s="6">
        <v>12</v>
      </c>
      <c r="H15" s="86">
        <f t="shared" si="0"/>
        <v>2</v>
      </c>
      <c r="I15" s="6">
        <v>11</v>
      </c>
      <c r="J15" s="6">
        <v>0</v>
      </c>
      <c r="K15" s="6">
        <v>9</v>
      </c>
    </row>
    <row r="16" spans="1:11" x14ac:dyDescent="0.2">
      <c r="A16" s="5">
        <v>39355</v>
      </c>
      <c r="B16" s="6">
        <v>5</v>
      </c>
      <c r="C16" s="8" t="s">
        <v>74</v>
      </c>
      <c r="D16" s="52" t="s">
        <v>177</v>
      </c>
      <c r="E16" s="6" t="s">
        <v>75</v>
      </c>
      <c r="F16" s="6">
        <v>6</v>
      </c>
      <c r="G16" s="6">
        <v>4</v>
      </c>
      <c r="H16" s="86">
        <f t="shared" si="0"/>
        <v>0.66666666666666663</v>
      </c>
      <c r="I16" s="6">
        <v>4</v>
      </c>
      <c r="J16" s="6">
        <v>0</v>
      </c>
      <c r="K16" s="6">
        <v>6</v>
      </c>
    </row>
    <row r="17" spans="1:11" x14ac:dyDescent="0.2">
      <c r="A17" s="5">
        <v>39327</v>
      </c>
      <c r="B17" s="6">
        <v>1</v>
      </c>
      <c r="C17" s="8" t="s">
        <v>86</v>
      </c>
      <c r="D17" s="52" t="s">
        <v>186</v>
      </c>
      <c r="E17" s="6" t="s">
        <v>85</v>
      </c>
      <c r="F17" s="6">
        <v>6</v>
      </c>
      <c r="G17" s="6">
        <v>1</v>
      </c>
      <c r="H17" s="86">
        <f t="shared" si="0"/>
        <v>0.16666666666666666</v>
      </c>
      <c r="I17" s="6">
        <v>7</v>
      </c>
      <c r="J17" s="6">
        <v>0</v>
      </c>
      <c r="K17" s="6">
        <v>0</v>
      </c>
    </row>
    <row r="18" spans="1:11" x14ac:dyDescent="0.2">
      <c r="A18" s="5">
        <v>39334</v>
      </c>
      <c r="B18" s="6">
        <v>2</v>
      </c>
      <c r="C18" s="8" t="s">
        <v>86</v>
      </c>
      <c r="D18" s="52" t="s">
        <v>186</v>
      </c>
      <c r="E18" s="6" t="s">
        <v>85</v>
      </c>
      <c r="F18" s="6">
        <v>6</v>
      </c>
      <c r="G18" s="6">
        <v>6</v>
      </c>
      <c r="H18" s="86">
        <f t="shared" si="0"/>
        <v>1</v>
      </c>
      <c r="I18" s="6">
        <v>11</v>
      </c>
      <c r="J18" s="6">
        <v>0</v>
      </c>
      <c r="K18" s="6">
        <v>3</v>
      </c>
    </row>
    <row r="19" spans="1:11" x14ac:dyDescent="0.2">
      <c r="A19" s="5">
        <v>39341</v>
      </c>
      <c r="B19" s="6">
        <v>3</v>
      </c>
      <c r="C19" s="8" t="s">
        <v>86</v>
      </c>
      <c r="D19" s="52" t="s">
        <v>186</v>
      </c>
      <c r="E19" s="6" t="s">
        <v>85</v>
      </c>
      <c r="F19" s="6">
        <v>6</v>
      </c>
      <c r="G19" s="6">
        <v>14</v>
      </c>
      <c r="H19" s="86">
        <f t="shared" si="0"/>
        <v>2.3333333333333335</v>
      </c>
      <c r="I19" s="6">
        <v>15</v>
      </c>
      <c r="J19" s="6">
        <v>0</v>
      </c>
      <c r="K19" s="6">
        <v>8</v>
      </c>
    </row>
    <row r="20" spans="1:11" x14ac:dyDescent="0.2">
      <c r="A20" s="5">
        <v>39348</v>
      </c>
      <c r="B20" s="6">
        <v>4</v>
      </c>
      <c r="C20" s="8" t="s">
        <v>86</v>
      </c>
      <c r="D20" s="52" t="s">
        <v>186</v>
      </c>
      <c r="E20" s="6" t="s">
        <v>85</v>
      </c>
      <c r="F20" s="6">
        <v>6</v>
      </c>
      <c r="G20" s="6">
        <v>9</v>
      </c>
      <c r="H20" s="86">
        <f t="shared" si="0"/>
        <v>1.5</v>
      </c>
      <c r="I20" s="6">
        <v>19</v>
      </c>
      <c r="J20" s="6">
        <v>0</v>
      </c>
      <c r="K20" s="6">
        <v>7</v>
      </c>
    </row>
    <row r="21" spans="1:11" x14ac:dyDescent="0.2">
      <c r="A21" s="5">
        <v>39355</v>
      </c>
      <c r="B21" s="6">
        <v>5</v>
      </c>
      <c r="C21" s="8" t="s">
        <v>86</v>
      </c>
      <c r="D21" s="52" t="s">
        <v>186</v>
      </c>
      <c r="E21" s="6" t="s">
        <v>85</v>
      </c>
      <c r="F21" s="6">
        <v>6</v>
      </c>
      <c r="G21" s="6">
        <v>0</v>
      </c>
      <c r="H21" s="86">
        <f t="shared" si="0"/>
        <v>0</v>
      </c>
      <c r="I21" s="6">
        <v>3</v>
      </c>
      <c r="J21" s="6">
        <v>0</v>
      </c>
      <c r="K21" s="6">
        <v>3</v>
      </c>
    </row>
    <row r="22" spans="1:11" x14ac:dyDescent="0.2">
      <c r="A22" s="5">
        <v>39334</v>
      </c>
      <c r="B22" s="6">
        <v>2</v>
      </c>
      <c r="C22" s="8" t="s">
        <v>89</v>
      </c>
      <c r="D22" s="52" t="s">
        <v>187</v>
      </c>
      <c r="E22" s="6" t="s">
        <v>87</v>
      </c>
      <c r="F22" s="6">
        <v>9</v>
      </c>
      <c r="G22" s="6">
        <v>2</v>
      </c>
      <c r="H22" s="86">
        <f t="shared" si="0"/>
        <v>0.22222222222222221</v>
      </c>
      <c r="I22" s="6">
        <v>9</v>
      </c>
      <c r="J22" s="6">
        <v>0</v>
      </c>
      <c r="K22" s="6">
        <v>0</v>
      </c>
    </row>
    <row r="23" spans="1:11" x14ac:dyDescent="0.2">
      <c r="A23" s="5">
        <v>39341</v>
      </c>
      <c r="B23" s="6">
        <v>3</v>
      </c>
      <c r="C23" s="8" t="s">
        <v>92</v>
      </c>
      <c r="D23" s="52" t="s">
        <v>187</v>
      </c>
      <c r="E23" s="6" t="s">
        <v>91</v>
      </c>
      <c r="F23" s="6">
        <v>7</v>
      </c>
      <c r="G23" s="6">
        <v>4</v>
      </c>
      <c r="H23" s="86">
        <f t="shared" si="0"/>
        <v>0.5714285714285714</v>
      </c>
      <c r="I23" s="6">
        <v>6</v>
      </c>
      <c r="J23" s="6">
        <v>0</v>
      </c>
      <c r="K23" s="6">
        <v>1</v>
      </c>
    </row>
    <row r="24" spans="1:11" x14ac:dyDescent="0.2">
      <c r="A24" s="5">
        <v>39348</v>
      </c>
      <c r="B24" s="6">
        <v>4</v>
      </c>
      <c r="C24" s="8" t="s">
        <v>92</v>
      </c>
      <c r="D24" s="52" t="s">
        <v>187</v>
      </c>
      <c r="E24" s="6" t="s">
        <v>91</v>
      </c>
      <c r="F24" s="6">
        <v>7</v>
      </c>
      <c r="G24" s="6">
        <v>4</v>
      </c>
      <c r="H24" s="86">
        <f t="shared" si="0"/>
        <v>0.5714285714285714</v>
      </c>
      <c r="I24" s="6">
        <v>13</v>
      </c>
      <c r="J24" s="6">
        <v>0</v>
      </c>
      <c r="K24" s="6">
        <v>10</v>
      </c>
    </row>
    <row r="25" spans="1:11" x14ac:dyDescent="0.2">
      <c r="A25" s="5">
        <v>39355</v>
      </c>
      <c r="B25" s="6">
        <v>5</v>
      </c>
      <c r="C25" s="8" t="s">
        <v>92</v>
      </c>
      <c r="D25" s="52" t="s">
        <v>187</v>
      </c>
      <c r="E25" s="6" t="s">
        <v>91</v>
      </c>
      <c r="F25" s="6">
        <v>7</v>
      </c>
      <c r="G25" s="6">
        <v>1</v>
      </c>
      <c r="H25" s="86">
        <f t="shared" si="0"/>
        <v>0.14285714285714285</v>
      </c>
      <c r="I25" s="6">
        <v>1</v>
      </c>
      <c r="J25" s="6">
        <v>0</v>
      </c>
      <c r="K25" s="6">
        <v>3</v>
      </c>
    </row>
    <row r="26" spans="1:11" x14ac:dyDescent="0.2">
      <c r="A26" s="5">
        <v>39348</v>
      </c>
      <c r="B26" s="6">
        <v>4</v>
      </c>
      <c r="C26" s="8" t="s">
        <v>95</v>
      </c>
      <c r="D26" s="8">
        <v>10</v>
      </c>
      <c r="E26" s="6" t="s">
        <v>93</v>
      </c>
      <c r="F26" s="6">
        <v>2</v>
      </c>
      <c r="G26" s="6">
        <v>12</v>
      </c>
      <c r="H26" s="86">
        <f t="shared" si="0"/>
        <v>6</v>
      </c>
      <c r="I26" s="6">
        <v>7</v>
      </c>
      <c r="J26" s="6">
        <v>0</v>
      </c>
      <c r="K26" s="6">
        <v>1</v>
      </c>
    </row>
    <row r="27" spans="1:11" x14ac:dyDescent="0.2">
      <c r="A27" s="5">
        <v>39355</v>
      </c>
      <c r="B27" s="6">
        <v>5</v>
      </c>
      <c r="C27" s="8" t="s">
        <v>95</v>
      </c>
      <c r="D27" s="8">
        <v>10</v>
      </c>
      <c r="E27" s="6" t="s">
        <v>93</v>
      </c>
      <c r="F27" s="6">
        <v>2</v>
      </c>
      <c r="G27" s="6">
        <v>0</v>
      </c>
      <c r="H27" s="86">
        <f t="shared" si="0"/>
        <v>0</v>
      </c>
      <c r="I27" s="6">
        <v>2</v>
      </c>
      <c r="J27" s="6">
        <v>0</v>
      </c>
      <c r="K27" s="6">
        <v>5</v>
      </c>
    </row>
    <row r="28" spans="1:11" x14ac:dyDescent="0.2">
      <c r="A28" s="5">
        <v>39348</v>
      </c>
      <c r="B28" s="6">
        <v>1</v>
      </c>
      <c r="C28" s="8" t="s">
        <v>37</v>
      </c>
      <c r="D28" s="8">
        <v>11</v>
      </c>
      <c r="E28" s="6" t="s">
        <v>19</v>
      </c>
      <c r="F28" s="6">
        <v>4</v>
      </c>
      <c r="G28" s="6">
        <v>5</v>
      </c>
      <c r="H28" s="86">
        <f t="shared" si="0"/>
        <v>1.25</v>
      </c>
      <c r="I28" s="6">
        <v>2</v>
      </c>
      <c r="J28" s="6">
        <v>0</v>
      </c>
      <c r="K28" s="6">
        <v>0</v>
      </c>
    </row>
    <row r="29" spans="1:11" x14ac:dyDescent="0.2">
      <c r="A29" s="5">
        <v>39355</v>
      </c>
      <c r="B29" s="6">
        <v>5</v>
      </c>
      <c r="C29" s="8" t="s">
        <v>37</v>
      </c>
      <c r="D29" s="8">
        <v>11</v>
      </c>
      <c r="E29" s="6" t="s">
        <v>19</v>
      </c>
      <c r="F29" s="6">
        <v>4</v>
      </c>
      <c r="G29" s="6">
        <v>0</v>
      </c>
      <c r="H29" s="86">
        <f t="shared" si="0"/>
        <v>0</v>
      </c>
      <c r="I29" s="6">
        <v>0</v>
      </c>
      <c r="J29" s="6">
        <v>0</v>
      </c>
      <c r="K29" s="6">
        <v>0</v>
      </c>
    </row>
    <row r="30" spans="1:11" ht="13.5" thickBot="1" x14ac:dyDescent="0.25">
      <c r="A30" s="5">
        <v>39348</v>
      </c>
      <c r="B30" s="6">
        <v>1</v>
      </c>
      <c r="C30" s="8" t="s">
        <v>96</v>
      </c>
      <c r="D30" s="8">
        <v>12</v>
      </c>
      <c r="E30" s="6" t="s">
        <v>94</v>
      </c>
      <c r="F30" s="80">
        <v>1</v>
      </c>
      <c r="G30" s="80">
        <v>2</v>
      </c>
      <c r="H30" s="87">
        <f t="shared" si="0"/>
        <v>2</v>
      </c>
      <c r="I30" s="80">
        <v>2</v>
      </c>
      <c r="J30" s="80">
        <v>0</v>
      </c>
      <c r="K30" s="80">
        <v>0</v>
      </c>
    </row>
    <row r="31" spans="1:11" x14ac:dyDescent="0.2">
      <c r="F31" s="3">
        <f>SUM(F4:F30)</f>
        <v>174</v>
      </c>
      <c r="G31" s="3">
        <f>SUM(G4:G30)</f>
        <v>185</v>
      </c>
      <c r="H31" s="88">
        <f t="shared" si="0"/>
        <v>1.0632183908045978</v>
      </c>
      <c r="I31" s="3">
        <f t="shared" ref="I31:K31" si="1">SUM(I4:I30)</f>
        <v>396</v>
      </c>
      <c r="J31" s="3">
        <f t="shared" si="1"/>
        <v>0</v>
      </c>
      <c r="K31" s="3">
        <f t="shared" si="1"/>
        <v>117</v>
      </c>
    </row>
    <row r="34" spans="3:5" x14ac:dyDescent="0.2">
      <c r="C34" s="103" t="s">
        <v>208</v>
      </c>
      <c r="D34" s="103"/>
      <c r="E34" s="103"/>
    </row>
    <row r="53" spans="1:11" x14ac:dyDescent="0.2">
      <c r="A53" s="6"/>
      <c r="B53" s="6"/>
      <c r="C53" s="8"/>
      <c r="D53" s="8"/>
      <c r="E53" s="6"/>
      <c r="F53" s="6"/>
      <c r="G53" s="6"/>
      <c r="H53" s="6"/>
      <c r="I53" s="6"/>
      <c r="J53" s="6"/>
      <c r="K53" s="6"/>
    </row>
    <row r="54" spans="1:11" x14ac:dyDescent="0.2">
      <c r="A54" s="6"/>
      <c r="B54" s="6"/>
      <c r="C54" s="8"/>
      <c r="D54" s="8"/>
      <c r="E54" s="6"/>
      <c r="F54" s="6"/>
      <c r="G54" s="6"/>
      <c r="H54" s="6"/>
      <c r="I54" s="6"/>
      <c r="J54" s="6"/>
      <c r="K54" s="6"/>
    </row>
    <row r="55" spans="1:11" x14ac:dyDescent="0.2">
      <c r="A55" s="6"/>
      <c r="B55" s="6"/>
      <c r="C55" s="8"/>
      <c r="D55" s="8"/>
      <c r="E55" s="6"/>
      <c r="F55" s="6"/>
      <c r="G55" s="6"/>
      <c r="H55" s="6"/>
      <c r="I55" s="6"/>
      <c r="J55" s="6"/>
      <c r="K55" s="6"/>
    </row>
    <row r="56" spans="1:11" x14ac:dyDescent="0.2">
      <c r="A56" s="6"/>
      <c r="B56" s="6"/>
      <c r="C56" s="8"/>
      <c r="D56" s="8"/>
      <c r="E56" s="6"/>
      <c r="F56" s="6"/>
      <c r="G56" s="6"/>
      <c r="H56" s="6"/>
      <c r="I56" s="6"/>
      <c r="J56" s="6"/>
      <c r="K56" s="6"/>
    </row>
    <row r="57" spans="1:11" x14ac:dyDescent="0.2">
      <c r="A57" s="6"/>
      <c r="B57" s="6"/>
      <c r="C57" s="8"/>
      <c r="D57" s="8"/>
      <c r="E57" s="6"/>
      <c r="F57" s="6"/>
      <c r="G57" s="6"/>
      <c r="H57" s="6"/>
      <c r="I57" s="6"/>
      <c r="J57" s="6"/>
      <c r="K57" s="6"/>
    </row>
  </sheetData>
  <sortState xmlns:xlrd2="http://schemas.microsoft.com/office/spreadsheetml/2017/richdata2" ref="A26:K52">
    <sortCondition ref="D26:D52"/>
  </sortState>
  <phoneticPr fontId="0" type="noConversion"/>
  <pageMargins left="0.75" right="0.75" top="1" bottom="1" header="0.5" footer="0.5"/>
  <pageSetup orientation="portrait" r:id="rId1"/>
  <headerFooter alignWithMargins="0"/>
  <ignoredErrors>
    <ignoredError sqref="H31" formula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70"/>
  <sheetViews>
    <sheetView workbookViewId="0">
      <selection activeCell="U20" sqref="U20"/>
    </sheetView>
  </sheetViews>
  <sheetFormatPr defaultRowHeight="12.75" x14ac:dyDescent="0.2"/>
  <cols>
    <col min="5" max="5" width="29.140625" bestFit="1" customWidth="1"/>
  </cols>
  <sheetData>
    <row r="1" spans="1:11" x14ac:dyDescent="0.2">
      <c r="A1" s="2"/>
      <c r="B1" s="2"/>
      <c r="C1" s="2" t="s">
        <v>25</v>
      </c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1" x14ac:dyDescent="0.2">
      <c r="A2" s="2" t="s">
        <v>0</v>
      </c>
      <c r="B2" s="2" t="s">
        <v>1</v>
      </c>
      <c r="C2" s="2" t="s">
        <v>26</v>
      </c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1" ht="13.5" thickBot="1" x14ac:dyDescent="0.25">
      <c r="A3" s="1"/>
      <c r="G3" s="20"/>
      <c r="I3" s="1"/>
      <c r="J3" s="4" t="s">
        <v>6</v>
      </c>
      <c r="K3" s="4" t="s">
        <v>7</v>
      </c>
    </row>
    <row r="4" spans="1:11" x14ac:dyDescent="0.2">
      <c r="A4" s="5">
        <v>39319</v>
      </c>
      <c r="B4" s="6">
        <v>1</v>
      </c>
      <c r="C4" s="8" t="s">
        <v>78</v>
      </c>
      <c r="D4" s="52" t="s">
        <v>184</v>
      </c>
      <c r="E4" s="6" t="s">
        <v>79</v>
      </c>
      <c r="F4" s="6">
        <v>9</v>
      </c>
      <c r="G4" s="19">
        <v>15</v>
      </c>
      <c r="H4" s="86">
        <f>G4/F4</f>
        <v>1.6666666666666667</v>
      </c>
      <c r="I4" s="6">
        <v>27</v>
      </c>
      <c r="J4" s="6">
        <v>0</v>
      </c>
      <c r="K4" s="6">
        <v>0</v>
      </c>
    </row>
    <row r="5" spans="1:11" x14ac:dyDescent="0.2">
      <c r="A5" s="5">
        <v>39327</v>
      </c>
      <c r="B5" s="6">
        <v>2</v>
      </c>
      <c r="C5" s="8" t="s">
        <v>78</v>
      </c>
      <c r="D5" s="52" t="s">
        <v>184</v>
      </c>
      <c r="E5" s="6" t="s">
        <v>79</v>
      </c>
      <c r="F5" s="6">
        <v>9</v>
      </c>
      <c r="G5" s="19">
        <v>16</v>
      </c>
      <c r="H5" s="86">
        <f t="shared" ref="H5:H38" si="0">G5/F5</f>
        <v>1.7777777777777777</v>
      </c>
      <c r="I5" s="6">
        <v>48</v>
      </c>
      <c r="J5" s="6">
        <v>0</v>
      </c>
      <c r="K5" s="6">
        <v>1</v>
      </c>
    </row>
    <row r="6" spans="1:11" x14ac:dyDescent="0.2">
      <c r="A6" s="5">
        <v>39334</v>
      </c>
      <c r="B6" s="6">
        <v>3</v>
      </c>
      <c r="C6" s="8" t="s">
        <v>78</v>
      </c>
      <c r="D6" s="52" t="s">
        <v>184</v>
      </c>
      <c r="E6" s="6" t="s">
        <v>79</v>
      </c>
      <c r="F6" s="6">
        <v>9</v>
      </c>
      <c r="G6" s="19">
        <v>15</v>
      </c>
      <c r="H6" s="86">
        <f t="shared" si="0"/>
        <v>1.6666666666666667</v>
      </c>
      <c r="I6" s="6">
        <v>29</v>
      </c>
      <c r="J6" s="6">
        <v>0</v>
      </c>
      <c r="K6" s="6">
        <v>1</v>
      </c>
    </row>
    <row r="7" spans="1:11" x14ac:dyDescent="0.2">
      <c r="A7" s="5">
        <v>39341</v>
      </c>
      <c r="B7" s="6">
        <v>4</v>
      </c>
      <c r="C7" s="8" t="s">
        <v>78</v>
      </c>
      <c r="D7" s="52" t="s">
        <v>184</v>
      </c>
      <c r="E7" s="6" t="s">
        <v>79</v>
      </c>
      <c r="F7" s="6">
        <v>9</v>
      </c>
      <c r="G7" s="19">
        <v>7</v>
      </c>
      <c r="H7" s="86">
        <f t="shared" si="0"/>
        <v>0.77777777777777779</v>
      </c>
      <c r="I7" s="6">
        <v>9</v>
      </c>
      <c r="J7" s="6">
        <v>0</v>
      </c>
      <c r="K7" s="6">
        <v>5</v>
      </c>
    </row>
    <row r="8" spans="1:11" x14ac:dyDescent="0.2">
      <c r="A8" s="5">
        <v>39348</v>
      </c>
      <c r="B8" s="6">
        <v>5</v>
      </c>
      <c r="C8" s="8" t="s">
        <v>78</v>
      </c>
      <c r="D8" s="52" t="s">
        <v>184</v>
      </c>
      <c r="E8" s="6" t="s">
        <v>79</v>
      </c>
      <c r="F8" s="6">
        <v>9</v>
      </c>
      <c r="G8" s="19">
        <v>0</v>
      </c>
      <c r="H8" s="86">
        <f t="shared" si="0"/>
        <v>0</v>
      </c>
      <c r="I8" s="6">
        <v>0</v>
      </c>
      <c r="J8" s="6">
        <v>0</v>
      </c>
      <c r="K8" s="6">
        <v>1</v>
      </c>
    </row>
    <row r="9" spans="1:11" x14ac:dyDescent="0.2">
      <c r="A9" s="5">
        <v>39330</v>
      </c>
      <c r="B9" s="6">
        <v>3</v>
      </c>
      <c r="C9" s="8" t="s">
        <v>29</v>
      </c>
      <c r="D9" s="8">
        <v>3</v>
      </c>
      <c r="E9" s="6" t="s">
        <v>11</v>
      </c>
      <c r="F9" s="6">
        <v>2</v>
      </c>
      <c r="G9" s="19">
        <v>12</v>
      </c>
      <c r="H9" s="86">
        <f t="shared" si="0"/>
        <v>6</v>
      </c>
      <c r="I9" s="6">
        <v>24</v>
      </c>
      <c r="J9" s="6">
        <v>0</v>
      </c>
      <c r="K9" s="6">
        <v>0</v>
      </c>
    </row>
    <row r="10" spans="1:11" x14ac:dyDescent="0.2">
      <c r="A10" s="5">
        <v>39319</v>
      </c>
      <c r="B10" s="6">
        <v>1</v>
      </c>
      <c r="C10" s="8" t="s">
        <v>77</v>
      </c>
      <c r="D10" s="52" t="s">
        <v>180</v>
      </c>
      <c r="E10" s="6" t="s">
        <v>76</v>
      </c>
      <c r="F10" s="6">
        <v>7</v>
      </c>
      <c r="G10" s="19">
        <v>3</v>
      </c>
      <c r="H10" s="86">
        <f t="shared" si="0"/>
        <v>0.42857142857142855</v>
      </c>
      <c r="I10" s="6">
        <v>4</v>
      </c>
      <c r="J10" s="6">
        <v>0</v>
      </c>
      <c r="K10" s="6">
        <v>0</v>
      </c>
    </row>
    <row r="11" spans="1:11" x14ac:dyDescent="0.2">
      <c r="A11" s="5">
        <v>39327</v>
      </c>
      <c r="B11" s="6">
        <v>2</v>
      </c>
      <c r="C11" s="8" t="s">
        <v>77</v>
      </c>
      <c r="D11" s="52" t="s">
        <v>180</v>
      </c>
      <c r="E11" s="6" t="s">
        <v>76</v>
      </c>
      <c r="F11" s="6">
        <v>7</v>
      </c>
      <c r="G11" s="19">
        <v>6</v>
      </c>
      <c r="H11" s="86">
        <f t="shared" si="0"/>
        <v>0.8571428571428571</v>
      </c>
      <c r="I11" s="6">
        <v>16</v>
      </c>
      <c r="J11" s="6">
        <v>0</v>
      </c>
      <c r="K11" s="6">
        <v>0</v>
      </c>
    </row>
    <row r="12" spans="1:11" x14ac:dyDescent="0.2">
      <c r="A12" s="5">
        <v>39334</v>
      </c>
      <c r="B12" s="6">
        <v>4</v>
      </c>
      <c r="C12" s="8" t="s">
        <v>77</v>
      </c>
      <c r="D12" s="52" t="s">
        <v>180</v>
      </c>
      <c r="E12" s="6" t="s">
        <v>76</v>
      </c>
      <c r="F12" s="6">
        <v>7</v>
      </c>
      <c r="G12" s="19">
        <v>5</v>
      </c>
      <c r="H12" s="86">
        <f t="shared" si="0"/>
        <v>0.7142857142857143</v>
      </c>
      <c r="I12" s="6">
        <v>44</v>
      </c>
      <c r="J12" s="6">
        <v>0</v>
      </c>
      <c r="K12" s="6">
        <v>4</v>
      </c>
    </row>
    <row r="13" spans="1:11" x14ac:dyDescent="0.2">
      <c r="A13" s="5">
        <v>39341</v>
      </c>
      <c r="B13" s="6">
        <v>5</v>
      </c>
      <c r="C13" s="8" t="s">
        <v>77</v>
      </c>
      <c r="D13" s="52" t="s">
        <v>180</v>
      </c>
      <c r="E13" s="6" t="s">
        <v>76</v>
      </c>
      <c r="F13" s="6">
        <v>7</v>
      </c>
      <c r="G13" s="19">
        <v>4</v>
      </c>
      <c r="H13" s="86">
        <f t="shared" si="0"/>
        <v>0.5714285714285714</v>
      </c>
      <c r="I13" s="6">
        <v>13</v>
      </c>
      <c r="J13" s="6">
        <v>0</v>
      </c>
      <c r="K13" s="6">
        <v>3</v>
      </c>
    </row>
    <row r="14" spans="1:11" x14ac:dyDescent="0.2">
      <c r="A14" s="5">
        <v>39348</v>
      </c>
      <c r="B14" s="6">
        <v>6</v>
      </c>
      <c r="C14" s="8" t="s">
        <v>77</v>
      </c>
      <c r="D14" s="52" t="s">
        <v>180</v>
      </c>
      <c r="E14" s="6" t="s">
        <v>76</v>
      </c>
      <c r="F14" s="6">
        <v>7</v>
      </c>
      <c r="G14" s="19">
        <v>0</v>
      </c>
      <c r="H14" s="86">
        <f t="shared" si="0"/>
        <v>0</v>
      </c>
      <c r="I14" s="6">
        <v>2</v>
      </c>
      <c r="J14" s="6">
        <v>0</v>
      </c>
      <c r="K14" s="6">
        <v>6</v>
      </c>
    </row>
    <row r="15" spans="1:11" x14ac:dyDescent="0.2">
      <c r="A15" s="5">
        <v>39330</v>
      </c>
      <c r="B15" s="6">
        <v>3</v>
      </c>
      <c r="C15" s="8" t="s">
        <v>30</v>
      </c>
      <c r="D15" s="8">
        <v>4</v>
      </c>
      <c r="E15" s="6" t="s">
        <v>12</v>
      </c>
      <c r="F15" s="6">
        <v>5</v>
      </c>
      <c r="G15" s="19">
        <v>14</v>
      </c>
      <c r="H15" s="86">
        <f t="shared" si="0"/>
        <v>2.8</v>
      </c>
      <c r="I15" s="6">
        <v>34</v>
      </c>
      <c r="J15" s="6">
        <v>0</v>
      </c>
      <c r="K15" s="6">
        <v>1</v>
      </c>
    </row>
    <row r="16" spans="1:11" x14ac:dyDescent="0.2">
      <c r="A16" s="5">
        <v>39319</v>
      </c>
      <c r="B16" s="6">
        <v>1</v>
      </c>
      <c r="C16" s="8" t="s">
        <v>74</v>
      </c>
      <c r="D16" s="52" t="s">
        <v>177</v>
      </c>
      <c r="E16" s="6" t="s">
        <v>75</v>
      </c>
      <c r="F16" s="6">
        <v>6</v>
      </c>
      <c r="G16" s="19">
        <v>3</v>
      </c>
      <c r="H16" s="86">
        <f t="shared" si="0"/>
        <v>0.5</v>
      </c>
      <c r="I16" s="6">
        <v>1</v>
      </c>
      <c r="J16" s="6">
        <v>0</v>
      </c>
      <c r="K16" s="6">
        <v>0</v>
      </c>
    </row>
    <row r="17" spans="1:11" x14ac:dyDescent="0.2">
      <c r="A17" s="5">
        <v>39327</v>
      </c>
      <c r="B17" s="6">
        <v>2</v>
      </c>
      <c r="C17" s="8" t="s">
        <v>74</v>
      </c>
      <c r="D17" s="52" t="s">
        <v>177</v>
      </c>
      <c r="E17" s="6" t="s">
        <v>75</v>
      </c>
      <c r="F17" s="6">
        <v>6</v>
      </c>
      <c r="G17" s="19">
        <v>4</v>
      </c>
      <c r="H17" s="86">
        <f t="shared" si="0"/>
        <v>0.66666666666666663</v>
      </c>
      <c r="I17" s="6">
        <v>12</v>
      </c>
      <c r="J17" s="6">
        <v>0</v>
      </c>
      <c r="K17" s="6">
        <v>0</v>
      </c>
    </row>
    <row r="18" spans="1:11" x14ac:dyDescent="0.2">
      <c r="A18" s="5">
        <v>39334</v>
      </c>
      <c r="B18" s="6">
        <v>3</v>
      </c>
      <c r="C18" s="8" t="s">
        <v>74</v>
      </c>
      <c r="D18" s="52" t="s">
        <v>177</v>
      </c>
      <c r="E18" s="6" t="s">
        <v>75</v>
      </c>
      <c r="F18" s="6">
        <v>6</v>
      </c>
      <c r="G18" s="19">
        <v>9</v>
      </c>
      <c r="H18" s="86">
        <f t="shared" si="0"/>
        <v>1.5</v>
      </c>
      <c r="I18" s="6">
        <v>21</v>
      </c>
      <c r="J18" s="6">
        <v>0</v>
      </c>
      <c r="K18" s="6">
        <v>1</v>
      </c>
    </row>
    <row r="19" spans="1:11" x14ac:dyDescent="0.2">
      <c r="A19" s="5">
        <v>39341</v>
      </c>
      <c r="B19" s="6">
        <v>4</v>
      </c>
      <c r="C19" s="8" t="s">
        <v>74</v>
      </c>
      <c r="D19" s="52" t="s">
        <v>177</v>
      </c>
      <c r="E19" s="6" t="s">
        <v>75</v>
      </c>
      <c r="F19" s="6">
        <v>6</v>
      </c>
      <c r="G19" s="19">
        <v>13</v>
      </c>
      <c r="H19" s="86">
        <f t="shared" si="0"/>
        <v>2.1666666666666665</v>
      </c>
      <c r="I19" s="6">
        <v>48</v>
      </c>
      <c r="J19" s="6">
        <v>0</v>
      </c>
      <c r="K19" s="6">
        <v>3</v>
      </c>
    </row>
    <row r="20" spans="1:11" x14ac:dyDescent="0.2">
      <c r="A20" s="5">
        <v>39348</v>
      </c>
      <c r="B20" s="6">
        <v>5</v>
      </c>
      <c r="C20" s="8" t="s">
        <v>74</v>
      </c>
      <c r="D20" s="52" t="s">
        <v>177</v>
      </c>
      <c r="E20" s="6" t="s">
        <v>75</v>
      </c>
      <c r="F20" s="6">
        <v>6</v>
      </c>
      <c r="G20" s="19">
        <v>1</v>
      </c>
      <c r="H20" s="86">
        <f t="shared" si="0"/>
        <v>0.16666666666666666</v>
      </c>
      <c r="I20" s="6">
        <v>12</v>
      </c>
      <c r="J20" s="6">
        <v>0</v>
      </c>
      <c r="K20" s="6">
        <v>9</v>
      </c>
    </row>
    <row r="21" spans="1:11" x14ac:dyDescent="0.2">
      <c r="A21" s="5">
        <v>39319</v>
      </c>
      <c r="B21" s="6">
        <v>1</v>
      </c>
      <c r="C21" s="8" t="s">
        <v>86</v>
      </c>
      <c r="D21" s="52" t="s">
        <v>186</v>
      </c>
      <c r="E21" s="6" t="s">
        <v>85</v>
      </c>
      <c r="F21" s="6">
        <v>6</v>
      </c>
      <c r="G21" s="19">
        <v>0</v>
      </c>
      <c r="H21" s="86">
        <f t="shared" si="0"/>
        <v>0</v>
      </c>
      <c r="I21" s="6">
        <v>0</v>
      </c>
      <c r="J21" s="6">
        <v>0</v>
      </c>
      <c r="K21" s="6">
        <v>0</v>
      </c>
    </row>
    <row r="22" spans="1:11" x14ac:dyDescent="0.2">
      <c r="A22" s="5">
        <v>39327</v>
      </c>
      <c r="B22" s="6">
        <v>2</v>
      </c>
      <c r="C22" s="8" t="s">
        <v>86</v>
      </c>
      <c r="D22" s="52" t="s">
        <v>186</v>
      </c>
      <c r="E22" s="6" t="s">
        <v>85</v>
      </c>
      <c r="F22" s="6">
        <v>6</v>
      </c>
      <c r="G22" s="19">
        <v>1</v>
      </c>
      <c r="H22" s="86">
        <f t="shared" si="0"/>
        <v>0.16666666666666666</v>
      </c>
      <c r="I22" s="6">
        <v>1</v>
      </c>
      <c r="J22" s="6">
        <v>0</v>
      </c>
      <c r="K22" s="6">
        <v>0</v>
      </c>
    </row>
    <row r="23" spans="1:11" x14ac:dyDescent="0.2">
      <c r="A23" s="5">
        <v>39334</v>
      </c>
      <c r="B23" s="6">
        <v>3</v>
      </c>
      <c r="C23" s="8" t="s">
        <v>86</v>
      </c>
      <c r="D23" s="52" t="s">
        <v>186</v>
      </c>
      <c r="E23" s="6" t="s">
        <v>85</v>
      </c>
      <c r="F23" s="6">
        <v>6</v>
      </c>
      <c r="G23" s="19">
        <v>10</v>
      </c>
      <c r="H23" s="86">
        <f t="shared" si="0"/>
        <v>1.6666666666666667</v>
      </c>
      <c r="I23" s="6">
        <v>18</v>
      </c>
      <c r="J23" s="6">
        <v>0</v>
      </c>
      <c r="K23" s="6">
        <v>0</v>
      </c>
    </row>
    <row r="24" spans="1:11" x14ac:dyDescent="0.2">
      <c r="A24" s="5">
        <v>39341</v>
      </c>
      <c r="B24" s="6">
        <v>4</v>
      </c>
      <c r="C24" s="8" t="s">
        <v>86</v>
      </c>
      <c r="D24" s="52" t="s">
        <v>186</v>
      </c>
      <c r="E24" s="6" t="s">
        <v>85</v>
      </c>
      <c r="F24" s="6">
        <v>6</v>
      </c>
      <c r="G24" s="19">
        <v>15</v>
      </c>
      <c r="H24" s="86">
        <f t="shared" si="0"/>
        <v>2.5</v>
      </c>
      <c r="I24" s="6">
        <v>41</v>
      </c>
      <c r="J24" s="6">
        <v>0</v>
      </c>
      <c r="K24" s="6">
        <v>1</v>
      </c>
    </row>
    <row r="25" spans="1:11" x14ac:dyDescent="0.2">
      <c r="A25" s="5">
        <v>39348</v>
      </c>
      <c r="B25" s="6">
        <v>5</v>
      </c>
      <c r="C25" s="8" t="s">
        <v>86</v>
      </c>
      <c r="D25" s="52" t="s">
        <v>186</v>
      </c>
      <c r="E25" s="6" t="s">
        <v>85</v>
      </c>
      <c r="F25" s="6">
        <v>6</v>
      </c>
      <c r="G25" s="19">
        <v>5</v>
      </c>
      <c r="H25" s="86">
        <f t="shared" si="0"/>
        <v>0.83333333333333337</v>
      </c>
      <c r="I25" s="6">
        <v>14</v>
      </c>
      <c r="J25" s="6">
        <v>0</v>
      </c>
      <c r="K25" s="6">
        <v>11</v>
      </c>
    </row>
    <row r="26" spans="1:11" x14ac:dyDescent="0.2">
      <c r="A26" s="5">
        <v>39334</v>
      </c>
      <c r="B26" s="6">
        <v>1</v>
      </c>
      <c r="C26" s="8" t="s">
        <v>35</v>
      </c>
      <c r="D26" s="8">
        <v>9</v>
      </c>
      <c r="E26" s="6" t="s">
        <v>17</v>
      </c>
      <c r="F26" s="6">
        <v>4</v>
      </c>
      <c r="G26" s="19">
        <v>5</v>
      </c>
      <c r="H26" s="86">
        <f t="shared" si="0"/>
        <v>1.25</v>
      </c>
      <c r="I26" s="6">
        <v>13</v>
      </c>
      <c r="J26" s="6">
        <v>0</v>
      </c>
      <c r="K26" s="6">
        <v>0</v>
      </c>
    </row>
    <row r="27" spans="1:11" x14ac:dyDescent="0.2">
      <c r="A27" s="5">
        <v>39341</v>
      </c>
      <c r="B27" s="6">
        <v>2</v>
      </c>
      <c r="C27" s="8" t="s">
        <v>35</v>
      </c>
      <c r="D27" s="8">
        <v>9</v>
      </c>
      <c r="E27" s="6" t="s">
        <v>17</v>
      </c>
      <c r="F27" s="6">
        <v>4</v>
      </c>
      <c r="G27" s="19">
        <v>5</v>
      </c>
      <c r="H27" s="86">
        <f t="shared" si="0"/>
        <v>1.25</v>
      </c>
      <c r="I27" s="6">
        <v>14</v>
      </c>
      <c r="J27" s="6">
        <v>0</v>
      </c>
      <c r="K27" s="6">
        <v>3</v>
      </c>
    </row>
    <row r="28" spans="1:11" x14ac:dyDescent="0.2">
      <c r="A28" s="5">
        <v>39348</v>
      </c>
      <c r="B28" s="6">
        <v>3</v>
      </c>
      <c r="C28" s="8" t="s">
        <v>35</v>
      </c>
      <c r="D28" s="8">
        <v>9</v>
      </c>
      <c r="E28" s="6" t="s">
        <v>17</v>
      </c>
      <c r="F28" s="6">
        <v>4</v>
      </c>
      <c r="G28" s="19">
        <v>3</v>
      </c>
      <c r="H28" s="86">
        <f t="shared" si="0"/>
        <v>0.75</v>
      </c>
      <c r="I28" s="6">
        <v>2</v>
      </c>
      <c r="J28" s="6">
        <v>0</v>
      </c>
      <c r="K28" s="6">
        <v>4</v>
      </c>
    </row>
    <row r="29" spans="1:11" x14ac:dyDescent="0.2">
      <c r="A29" s="5">
        <v>39355</v>
      </c>
      <c r="B29" s="6">
        <v>4</v>
      </c>
      <c r="C29" s="8" t="s">
        <v>35</v>
      </c>
      <c r="D29" s="8">
        <v>9</v>
      </c>
      <c r="E29" s="6" t="s">
        <v>17</v>
      </c>
      <c r="F29" s="6">
        <v>4</v>
      </c>
      <c r="G29" s="19">
        <v>0</v>
      </c>
      <c r="H29" s="86">
        <f t="shared" si="0"/>
        <v>0</v>
      </c>
      <c r="I29" s="6">
        <v>2</v>
      </c>
      <c r="J29" s="6">
        <v>0</v>
      </c>
      <c r="K29" s="6">
        <v>4</v>
      </c>
    </row>
    <row r="30" spans="1:11" x14ac:dyDescent="0.2">
      <c r="A30" s="5">
        <v>39334</v>
      </c>
      <c r="B30" s="6">
        <v>1</v>
      </c>
      <c r="C30" s="8" t="s">
        <v>36</v>
      </c>
      <c r="D30" s="8">
        <v>10</v>
      </c>
      <c r="E30" s="6" t="s">
        <v>18</v>
      </c>
      <c r="F30" s="6">
        <v>5</v>
      </c>
      <c r="G30" s="19">
        <v>0</v>
      </c>
      <c r="H30" s="86">
        <f t="shared" si="0"/>
        <v>0</v>
      </c>
      <c r="I30" s="6">
        <v>0</v>
      </c>
      <c r="J30" s="6">
        <v>0</v>
      </c>
      <c r="K30" s="6">
        <v>0</v>
      </c>
    </row>
    <row r="31" spans="1:11" x14ac:dyDescent="0.2">
      <c r="A31" s="5">
        <v>39341</v>
      </c>
      <c r="B31" s="6">
        <v>2</v>
      </c>
      <c r="C31" s="8" t="s">
        <v>36</v>
      </c>
      <c r="D31" s="8">
        <v>10</v>
      </c>
      <c r="E31" s="6" t="s">
        <v>18</v>
      </c>
      <c r="F31" s="6">
        <v>5</v>
      </c>
      <c r="G31" s="19">
        <v>8</v>
      </c>
      <c r="H31" s="86">
        <f t="shared" si="0"/>
        <v>1.6</v>
      </c>
      <c r="I31" s="6">
        <v>17</v>
      </c>
      <c r="J31" s="6">
        <v>0</v>
      </c>
      <c r="K31" s="6">
        <v>0</v>
      </c>
    </row>
    <row r="32" spans="1:11" x14ac:dyDescent="0.2">
      <c r="A32" s="5">
        <v>39348</v>
      </c>
      <c r="B32" s="6">
        <v>3</v>
      </c>
      <c r="C32" s="8" t="s">
        <v>36</v>
      </c>
      <c r="D32" s="8">
        <v>10</v>
      </c>
      <c r="E32" s="6" t="s">
        <v>18</v>
      </c>
      <c r="F32" s="6">
        <v>5</v>
      </c>
      <c r="G32" s="19">
        <v>9</v>
      </c>
      <c r="H32" s="86">
        <f t="shared" si="0"/>
        <v>1.8</v>
      </c>
      <c r="I32" s="6">
        <v>10</v>
      </c>
      <c r="J32" s="6">
        <v>0</v>
      </c>
      <c r="K32" s="6">
        <v>3</v>
      </c>
    </row>
    <row r="33" spans="1:11" x14ac:dyDescent="0.2">
      <c r="A33" s="5">
        <v>39355</v>
      </c>
      <c r="B33" s="6">
        <v>4</v>
      </c>
      <c r="C33" s="8" t="s">
        <v>36</v>
      </c>
      <c r="D33" s="8">
        <v>10</v>
      </c>
      <c r="E33" s="6" t="s">
        <v>18</v>
      </c>
      <c r="F33" s="6">
        <v>5</v>
      </c>
      <c r="G33" s="19">
        <v>2</v>
      </c>
      <c r="H33" s="86">
        <f t="shared" si="0"/>
        <v>0.4</v>
      </c>
      <c r="I33" s="6">
        <v>1</v>
      </c>
      <c r="J33" s="6">
        <v>0</v>
      </c>
      <c r="K33" s="6">
        <v>6</v>
      </c>
    </row>
    <row r="34" spans="1:11" x14ac:dyDescent="0.2">
      <c r="A34" s="5">
        <v>39355</v>
      </c>
      <c r="B34" s="6">
        <v>3</v>
      </c>
      <c r="C34" s="8" t="s">
        <v>37</v>
      </c>
      <c r="D34" s="8">
        <v>11</v>
      </c>
      <c r="E34" s="6" t="s">
        <v>19</v>
      </c>
      <c r="F34" s="6">
        <v>4</v>
      </c>
      <c r="G34" s="19">
        <v>1</v>
      </c>
      <c r="H34" s="86">
        <f t="shared" si="0"/>
        <v>0.25</v>
      </c>
      <c r="I34" s="6">
        <v>0</v>
      </c>
      <c r="J34" s="6">
        <v>0</v>
      </c>
      <c r="K34" s="6">
        <v>2</v>
      </c>
    </row>
    <row r="35" spans="1:11" x14ac:dyDescent="0.2">
      <c r="A35" s="5">
        <v>39341</v>
      </c>
      <c r="B35" s="6">
        <v>1</v>
      </c>
      <c r="C35" s="8" t="s">
        <v>84</v>
      </c>
      <c r="D35" s="52" t="s">
        <v>181</v>
      </c>
      <c r="E35" s="6" t="s">
        <v>83</v>
      </c>
      <c r="F35" s="6">
        <v>7</v>
      </c>
      <c r="G35" s="19">
        <v>8</v>
      </c>
      <c r="H35" s="86">
        <f t="shared" si="0"/>
        <v>1.1428571428571428</v>
      </c>
      <c r="I35" s="6">
        <v>15</v>
      </c>
      <c r="J35" s="6">
        <v>0</v>
      </c>
      <c r="K35" s="6">
        <v>0</v>
      </c>
    </row>
    <row r="36" spans="1:11" x14ac:dyDescent="0.2">
      <c r="A36" s="5">
        <v>39348</v>
      </c>
      <c r="B36" s="6">
        <v>2</v>
      </c>
      <c r="C36" s="8" t="s">
        <v>84</v>
      </c>
      <c r="D36" s="52" t="s">
        <v>181</v>
      </c>
      <c r="E36" s="6" t="s">
        <v>83</v>
      </c>
      <c r="F36" s="6">
        <v>7</v>
      </c>
      <c r="G36" s="19">
        <v>1</v>
      </c>
      <c r="H36" s="86">
        <f t="shared" si="0"/>
        <v>0.14285714285714285</v>
      </c>
      <c r="I36" s="6">
        <v>5</v>
      </c>
      <c r="J36" s="6">
        <v>0</v>
      </c>
      <c r="K36" s="6">
        <v>0</v>
      </c>
    </row>
    <row r="37" spans="1:11" ht="13.5" thickBot="1" x14ac:dyDescent="0.25">
      <c r="A37" s="5">
        <v>39355</v>
      </c>
      <c r="B37" s="6">
        <v>3</v>
      </c>
      <c r="C37" s="8" t="s">
        <v>38</v>
      </c>
      <c r="D37" s="8">
        <v>12</v>
      </c>
      <c r="E37" s="6" t="s">
        <v>20</v>
      </c>
      <c r="F37" s="80">
        <v>3</v>
      </c>
      <c r="G37" s="84">
        <v>0</v>
      </c>
      <c r="H37" s="87">
        <f t="shared" si="0"/>
        <v>0</v>
      </c>
      <c r="I37" s="80">
        <v>1</v>
      </c>
      <c r="J37" s="80">
        <v>0</v>
      </c>
      <c r="K37" s="80">
        <v>0</v>
      </c>
    </row>
    <row r="38" spans="1:11" x14ac:dyDescent="0.2">
      <c r="A38" s="6"/>
      <c r="B38" s="6"/>
      <c r="C38" s="8"/>
      <c r="D38" s="8"/>
      <c r="E38" s="6"/>
      <c r="F38" s="90">
        <f>SUM(F4:F37)</f>
        <v>204</v>
      </c>
      <c r="G38" s="91">
        <f>SUM(G4:G37)</f>
        <v>200</v>
      </c>
      <c r="H38" s="89">
        <f t="shared" si="0"/>
        <v>0.98039215686274506</v>
      </c>
      <c r="I38" s="90">
        <f>SUM(I4:I37)</f>
        <v>498</v>
      </c>
      <c r="J38" s="90">
        <f>SUM(J4:J37)</f>
        <v>0</v>
      </c>
      <c r="K38" s="90">
        <f>SUM(K4:K37)</f>
        <v>69</v>
      </c>
    </row>
    <row r="39" spans="1:11" x14ac:dyDescent="0.2">
      <c r="A39" s="6"/>
      <c r="B39" s="6"/>
      <c r="C39" s="8"/>
      <c r="D39" s="8"/>
      <c r="E39" s="6"/>
      <c r="F39" s="6"/>
      <c r="G39" s="6"/>
      <c r="H39" s="6"/>
      <c r="I39" s="6"/>
      <c r="J39" s="6"/>
      <c r="K39" s="6"/>
    </row>
    <row r="40" spans="1:11" x14ac:dyDescent="0.2">
      <c r="A40" s="6"/>
      <c r="B40" s="6"/>
      <c r="C40" s="8"/>
      <c r="D40" s="8"/>
      <c r="E40" s="6"/>
      <c r="F40" s="6"/>
      <c r="G40" s="6"/>
      <c r="H40" s="6"/>
      <c r="I40" s="6"/>
      <c r="J40" s="6"/>
      <c r="K40" s="6"/>
    </row>
    <row r="41" spans="1:11" x14ac:dyDescent="0.2">
      <c r="A41" s="6"/>
      <c r="B41" s="6"/>
      <c r="C41" s="103" t="s">
        <v>208</v>
      </c>
      <c r="D41" s="103"/>
      <c r="E41" s="103"/>
      <c r="F41" s="6"/>
      <c r="G41" s="6"/>
      <c r="H41" s="6"/>
      <c r="I41" s="6"/>
      <c r="J41" s="6"/>
      <c r="K41" s="6"/>
    </row>
    <row r="42" spans="1:11" x14ac:dyDescent="0.2">
      <c r="A42" s="6"/>
      <c r="B42" s="6"/>
      <c r="C42" s="8"/>
      <c r="D42" s="8"/>
      <c r="E42" s="6"/>
      <c r="F42" s="6"/>
      <c r="G42" s="6"/>
      <c r="H42" s="6"/>
      <c r="I42" s="6"/>
      <c r="J42" s="6"/>
      <c r="K42" s="6"/>
    </row>
    <row r="43" spans="1:11" x14ac:dyDescent="0.2">
      <c r="A43" s="6"/>
      <c r="B43" s="6"/>
      <c r="C43" s="8"/>
      <c r="D43" s="8"/>
      <c r="E43" s="6"/>
      <c r="F43" s="6"/>
      <c r="G43" s="6"/>
      <c r="H43" s="6"/>
      <c r="I43" s="6"/>
      <c r="J43" s="6"/>
      <c r="K43" s="6"/>
    </row>
    <row r="44" spans="1:11" x14ac:dyDescent="0.2">
      <c r="A44" s="6"/>
      <c r="B44" s="6"/>
      <c r="C44" s="8"/>
      <c r="D44" s="8"/>
      <c r="E44" s="6"/>
      <c r="F44" s="6"/>
      <c r="G44" s="6"/>
      <c r="H44" s="6"/>
      <c r="I44" s="6"/>
      <c r="J44" s="6"/>
      <c r="K44" s="6"/>
    </row>
    <row r="45" spans="1:11" x14ac:dyDescent="0.2">
      <c r="A45" s="6"/>
      <c r="B45" s="6"/>
      <c r="C45" s="8"/>
      <c r="D45" s="8"/>
      <c r="E45" s="6"/>
      <c r="F45" s="6"/>
      <c r="G45" s="6"/>
      <c r="H45" s="6"/>
      <c r="I45" s="6"/>
      <c r="J45" s="6"/>
      <c r="K45" s="6"/>
    </row>
    <row r="46" spans="1:11" x14ac:dyDescent="0.2">
      <c r="A46" s="6"/>
      <c r="B46" s="6"/>
      <c r="C46" s="8"/>
      <c r="D46" s="8"/>
      <c r="E46" s="6"/>
      <c r="F46" s="6"/>
      <c r="G46" s="6"/>
      <c r="H46" s="6"/>
      <c r="I46" s="6"/>
      <c r="J46" s="6"/>
      <c r="K46" s="6"/>
    </row>
    <row r="47" spans="1:11" x14ac:dyDescent="0.2">
      <c r="A47" s="6"/>
      <c r="B47" s="6"/>
      <c r="C47" s="8"/>
      <c r="D47" s="8"/>
      <c r="E47" s="6"/>
      <c r="F47" s="6"/>
      <c r="G47" s="6"/>
      <c r="H47" s="6"/>
      <c r="I47" s="6"/>
      <c r="J47" s="6"/>
      <c r="K47" s="6"/>
    </row>
    <row r="48" spans="1:11" x14ac:dyDescent="0.2">
      <c r="A48" s="6"/>
      <c r="B48" s="6"/>
      <c r="C48" s="8"/>
      <c r="D48" s="8"/>
      <c r="E48" s="6"/>
      <c r="F48" s="6"/>
      <c r="G48" s="6"/>
      <c r="H48" s="6"/>
      <c r="I48" s="6"/>
      <c r="J48" s="6"/>
      <c r="K48" s="6"/>
    </row>
    <row r="49" spans="1:11" x14ac:dyDescent="0.2">
      <c r="A49" s="6"/>
      <c r="B49" s="6"/>
      <c r="C49" s="8"/>
      <c r="D49" s="8"/>
      <c r="E49" s="6"/>
      <c r="F49" s="6"/>
      <c r="G49" s="6"/>
      <c r="H49" s="6"/>
      <c r="I49" s="6"/>
      <c r="J49" s="6"/>
      <c r="K49" s="6"/>
    </row>
    <row r="50" spans="1:11" x14ac:dyDescent="0.2">
      <c r="A50" s="6"/>
      <c r="B50" s="6"/>
      <c r="C50" s="8"/>
      <c r="D50" s="8"/>
      <c r="E50" s="6"/>
      <c r="F50" s="6"/>
      <c r="G50" s="6"/>
      <c r="H50" s="6"/>
      <c r="I50" s="6"/>
      <c r="J50" s="6"/>
      <c r="K50" s="6"/>
    </row>
    <row r="51" spans="1:11" x14ac:dyDescent="0.2">
      <c r="A51" s="6"/>
      <c r="B51" s="6"/>
      <c r="C51" s="8"/>
      <c r="D51" s="8"/>
      <c r="E51" s="6"/>
      <c r="F51" s="6"/>
      <c r="G51" s="6"/>
      <c r="H51" s="6"/>
      <c r="I51" s="6"/>
      <c r="J51" s="6"/>
      <c r="K51" s="6"/>
    </row>
    <row r="52" spans="1:11" x14ac:dyDescent="0.2">
      <c r="A52" s="6"/>
      <c r="B52" s="6"/>
      <c r="C52" s="8"/>
      <c r="D52" s="8"/>
      <c r="E52" s="6"/>
      <c r="F52" s="6"/>
      <c r="G52" s="6"/>
      <c r="H52" s="6"/>
      <c r="I52" s="6"/>
      <c r="J52" s="6"/>
      <c r="K52" s="6"/>
    </row>
    <row r="53" spans="1:11" x14ac:dyDescent="0.2">
      <c r="A53" s="6"/>
      <c r="B53" s="6"/>
      <c r="C53" s="8"/>
      <c r="D53" s="8"/>
      <c r="E53" s="6"/>
      <c r="F53" s="6"/>
      <c r="G53" s="6"/>
      <c r="H53" s="6"/>
      <c r="I53" s="6"/>
      <c r="J53" s="6"/>
      <c r="K53" s="6"/>
    </row>
    <row r="54" spans="1:11" x14ac:dyDescent="0.2">
      <c r="A54" s="6"/>
      <c r="B54" s="6"/>
      <c r="C54" s="8"/>
      <c r="D54" s="8"/>
      <c r="E54" s="6"/>
      <c r="F54" s="6"/>
      <c r="G54" s="6"/>
      <c r="H54" s="6"/>
      <c r="I54" s="6"/>
      <c r="J54" s="6"/>
      <c r="K54" s="6"/>
    </row>
    <row r="55" spans="1:11" x14ac:dyDescent="0.2">
      <c r="A55" s="6"/>
      <c r="B55" s="6"/>
      <c r="C55" s="8"/>
      <c r="D55" s="8"/>
      <c r="E55" s="6"/>
      <c r="F55" s="6"/>
      <c r="G55" s="6"/>
      <c r="H55" s="6"/>
      <c r="I55" s="6"/>
      <c r="J55" s="6"/>
      <c r="K55" s="6"/>
    </row>
    <row r="56" spans="1:11" x14ac:dyDescent="0.2">
      <c r="A56" s="6"/>
      <c r="B56" s="6"/>
      <c r="C56" s="8"/>
      <c r="D56" s="8"/>
      <c r="E56" s="6"/>
      <c r="F56" s="6"/>
      <c r="G56" s="6"/>
      <c r="H56" s="6"/>
      <c r="I56" s="6"/>
      <c r="J56" s="6"/>
      <c r="K56" s="6"/>
    </row>
    <row r="57" spans="1:11" x14ac:dyDescent="0.2">
      <c r="A57" s="6"/>
      <c r="B57" s="6"/>
      <c r="C57" s="8"/>
      <c r="D57" s="8"/>
      <c r="E57" s="6"/>
      <c r="F57" s="6"/>
      <c r="G57" s="6"/>
      <c r="H57" s="6"/>
      <c r="I57" s="6"/>
      <c r="J57" s="6"/>
      <c r="K57" s="6"/>
    </row>
    <row r="58" spans="1:11" x14ac:dyDescent="0.2">
      <c r="A58" s="6"/>
      <c r="B58" s="6"/>
      <c r="C58" s="8"/>
      <c r="D58" s="8"/>
      <c r="E58" s="6"/>
      <c r="F58" s="6"/>
      <c r="G58" s="6"/>
      <c r="H58" s="6"/>
      <c r="I58" s="6"/>
      <c r="J58" s="6"/>
      <c r="K58" s="6"/>
    </row>
    <row r="59" spans="1:11" x14ac:dyDescent="0.2">
      <c r="A59" s="6"/>
      <c r="B59" s="6"/>
      <c r="C59" s="8"/>
      <c r="D59" s="8"/>
      <c r="E59" s="6"/>
      <c r="F59" s="6"/>
      <c r="G59" s="6"/>
      <c r="H59" s="6"/>
      <c r="I59" s="6"/>
      <c r="J59" s="6"/>
      <c r="K59" s="6"/>
    </row>
    <row r="60" spans="1:11" x14ac:dyDescent="0.2">
      <c r="A60" s="6"/>
      <c r="B60" s="6"/>
      <c r="C60" s="8"/>
      <c r="D60" s="8"/>
      <c r="E60" s="6"/>
      <c r="F60" s="6"/>
      <c r="G60" s="6"/>
      <c r="H60" s="6"/>
      <c r="I60" s="6"/>
      <c r="J60" s="6"/>
      <c r="K60" s="6"/>
    </row>
    <row r="61" spans="1:11" x14ac:dyDescent="0.2">
      <c r="A61" s="6"/>
      <c r="B61" s="6"/>
      <c r="C61" s="8"/>
      <c r="D61" s="8"/>
      <c r="E61" s="6"/>
      <c r="F61" s="6"/>
      <c r="G61" s="6"/>
      <c r="H61" s="6"/>
      <c r="I61" s="6"/>
      <c r="J61" s="6"/>
      <c r="K61" s="6"/>
    </row>
    <row r="62" spans="1:11" x14ac:dyDescent="0.2">
      <c r="A62" s="6"/>
      <c r="B62" s="6"/>
      <c r="C62" s="8"/>
      <c r="D62" s="8"/>
      <c r="E62" s="6"/>
      <c r="F62" s="6"/>
      <c r="G62" s="6"/>
      <c r="H62" s="6"/>
      <c r="I62" s="6"/>
      <c r="J62" s="6"/>
      <c r="K62" s="6"/>
    </row>
    <row r="63" spans="1:11" x14ac:dyDescent="0.2">
      <c r="A63" s="6"/>
      <c r="B63" s="6"/>
      <c r="C63" s="8"/>
      <c r="D63" s="8"/>
      <c r="E63" s="6"/>
      <c r="F63" s="6"/>
      <c r="G63" s="6"/>
      <c r="H63" s="6"/>
      <c r="I63" s="6"/>
      <c r="J63" s="6"/>
      <c r="K63" s="6"/>
    </row>
    <row r="64" spans="1:11" x14ac:dyDescent="0.2">
      <c r="A64" s="6"/>
      <c r="B64" s="6"/>
      <c r="C64" s="8"/>
      <c r="D64" s="8"/>
      <c r="E64" s="6"/>
      <c r="F64" s="6"/>
      <c r="G64" s="6"/>
      <c r="H64" s="6"/>
      <c r="I64" s="6"/>
      <c r="J64" s="6"/>
      <c r="K64" s="6"/>
    </row>
    <row r="65" spans="1:11" x14ac:dyDescent="0.2">
      <c r="A65" s="6"/>
      <c r="B65" s="6"/>
      <c r="C65" s="8"/>
      <c r="D65" s="8"/>
      <c r="E65" s="6"/>
      <c r="F65" s="6"/>
      <c r="G65" s="6"/>
      <c r="H65" s="6"/>
      <c r="I65" s="6"/>
      <c r="J65" s="6"/>
      <c r="K65" s="6"/>
    </row>
    <row r="66" spans="1:11" x14ac:dyDescent="0.2">
      <c r="A66" s="6"/>
      <c r="B66" s="6"/>
      <c r="C66" s="8"/>
      <c r="D66" s="8"/>
      <c r="E66" s="6"/>
      <c r="F66" s="6"/>
      <c r="G66" s="6"/>
      <c r="H66" s="6"/>
      <c r="I66" s="6"/>
      <c r="J66" s="6"/>
      <c r="K66" s="6"/>
    </row>
    <row r="67" spans="1:11" x14ac:dyDescent="0.2">
      <c r="A67" s="6"/>
      <c r="B67" s="6"/>
      <c r="C67" s="8"/>
      <c r="D67" s="8"/>
      <c r="E67" s="6"/>
      <c r="F67" s="6"/>
      <c r="G67" s="6"/>
      <c r="H67" s="6"/>
      <c r="I67" s="6"/>
      <c r="J67" s="6"/>
      <c r="K67" s="6"/>
    </row>
    <row r="68" spans="1:11" x14ac:dyDescent="0.2">
      <c r="A68" s="6"/>
      <c r="B68" s="6"/>
      <c r="C68" s="8"/>
      <c r="D68" s="8"/>
      <c r="E68" s="6"/>
      <c r="F68" s="6"/>
      <c r="G68" s="6"/>
      <c r="H68" s="6"/>
      <c r="I68" s="6"/>
      <c r="J68" s="6"/>
      <c r="K68" s="6"/>
    </row>
    <row r="69" spans="1:11" x14ac:dyDescent="0.2">
      <c r="A69" s="6"/>
      <c r="B69" s="6"/>
      <c r="C69" s="8"/>
      <c r="D69" s="8"/>
      <c r="E69" s="6"/>
      <c r="F69" s="6"/>
      <c r="G69" s="6"/>
      <c r="H69" s="6"/>
      <c r="I69" s="6"/>
      <c r="J69" s="6"/>
      <c r="K69" s="6"/>
    </row>
    <row r="70" spans="1:11" x14ac:dyDescent="0.2">
      <c r="A70" s="6"/>
      <c r="B70" s="6"/>
      <c r="C70" s="8"/>
      <c r="D70" s="8"/>
      <c r="E70" s="6"/>
      <c r="F70" s="6"/>
      <c r="G70" s="6"/>
      <c r="H70" s="6"/>
      <c r="I70" s="6"/>
      <c r="J70" s="6"/>
      <c r="K70" s="6"/>
    </row>
  </sheetData>
  <sortState xmlns:xlrd2="http://schemas.microsoft.com/office/spreadsheetml/2017/richdata2" ref="A26:K36">
    <sortCondition ref="D26:D36"/>
  </sortState>
  <phoneticPr fontId="0" type="noConversion"/>
  <pageMargins left="0.75" right="0.75" top="1" bottom="1" header="0.5" footer="0.5"/>
  <pageSetup orientation="portrait" r:id="rId1"/>
  <headerFooter alignWithMargins="0"/>
  <ignoredErrors>
    <ignoredError sqref="H38" formula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72"/>
  <sheetViews>
    <sheetView workbookViewId="0">
      <selection activeCell="H25" sqref="H25"/>
    </sheetView>
  </sheetViews>
  <sheetFormatPr defaultRowHeight="12.75" x14ac:dyDescent="0.2"/>
  <cols>
    <col min="5" max="5" width="29.140625" bestFit="1" customWidth="1"/>
  </cols>
  <sheetData>
    <row r="1" spans="1:15" x14ac:dyDescent="0.2">
      <c r="A1" s="2"/>
      <c r="B1" s="2"/>
      <c r="C1" s="2" t="s">
        <v>25</v>
      </c>
      <c r="D1" s="2" t="s">
        <v>113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5" x14ac:dyDescent="0.2">
      <c r="A2" s="2" t="s">
        <v>0</v>
      </c>
      <c r="B2" s="2" t="s">
        <v>1</v>
      </c>
      <c r="C2" s="2" t="s">
        <v>26</v>
      </c>
      <c r="D2" s="2" t="s">
        <v>114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5" ht="13.5" thickBot="1" x14ac:dyDescent="0.25">
      <c r="A3" s="1"/>
      <c r="I3" s="1"/>
      <c r="J3" s="4" t="s">
        <v>6</v>
      </c>
      <c r="K3" s="4" t="s">
        <v>7</v>
      </c>
    </row>
    <row r="4" spans="1:15" x14ac:dyDescent="0.2">
      <c r="A4" s="5">
        <v>39364</v>
      </c>
      <c r="B4" s="6">
        <v>1</v>
      </c>
      <c r="C4" s="8" t="s">
        <v>99</v>
      </c>
      <c r="D4" s="8" t="s">
        <v>185</v>
      </c>
      <c r="E4" s="6" t="s">
        <v>98</v>
      </c>
      <c r="F4" s="6">
        <v>9</v>
      </c>
      <c r="G4" s="6">
        <v>57</v>
      </c>
      <c r="H4" s="86">
        <f>G4/F4</f>
        <v>6.333333333333333</v>
      </c>
      <c r="I4" s="6">
        <v>9</v>
      </c>
      <c r="J4" s="6">
        <v>0</v>
      </c>
      <c r="K4" s="6">
        <v>10</v>
      </c>
    </row>
    <row r="5" spans="1:15" x14ac:dyDescent="0.2">
      <c r="A5" s="5">
        <v>39364</v>
      </c>
      <c r="B5" s="6">
        <v>1</v>
      </c>
      <c r="C5" s="8" t="s">
        <v>28</v>
      </c>
      <c r="D5" s="8">
        <v>2</v>
      </c>
      <c r="E5" s="6" t="s">
        <v>10</v>
      </c>
      <c r="F5" s="6">
        <v>3</v>
      </c>
      <c r="G5" s="6">
        <v>27</v>
      </c>
      <c r="H5" s="86">
        <f t="shared" ref="H5:H10" si="0">G5/F5</f>
        <v>9</v>
      </c>
      <c r="I5" s="6">
        <v>11</v>
      </c>
      <c r="J5" s="6">
        <v>0</v>
      </c>
      <c r="K5" s="6">
        <v>2</v>
      </c>
    </row>
    <row r="6" spans="1:15" x14ac:dyDescent="0.2">
      <c r="A6" s="5">
        <v>39364</v>
      </c>
      <c r="B6" s="6">
        <v>1</v>
      </c>
      <c r="C6" s="8" t="s">
        <v>29</v>
      </c>
      <c r="D6" s="8">
        <v>3</v>
      </c>
      <c r="E6" s="6" t="s">
        <v>11</v>
      </c>
      <c r="F6" s="6">
        <v>2</v>
      </c>
      <c r="G6" s="6">
        <v>32</v>
      </c>
      <c r="H6" s="86">
        <f t="shared" si="0"/>
        <v>16</v>
      </c>
      <c r="I6" s="6">
        <v>9</v>
      </c>
      <c r="J6" s="6">
        <v>0</v>
      </c>
      <c r="K6" s="6">
        <v>5</v>
      </c>
    </row>
    <row r="7" spans="1:15" x14ac:dyDescent="0.2">
      <c r="A7" s="5">
        <v>39364</v>
      </c>
      <c r="B7" s="6">
        <v>1</v>
      </c>
      <c r="C7" s="8" t="s">
        <v>30</v>
      </c>
      <c r="D7" s="8">
        <v>4</v>
      </c>
      <c r="E7" s="6" t="s">
        <v>12</v>
      </c>
      <c r="F7" s="6">
        <v>5</v>
      </c>
      <c r="G7" s="6">
        <v>50</v>
      </c>
      <c r="H7" s="86">
        <f t="shared" si="0"/>
        <v>10</v>
      </c>
      <c r="I7" s="6">
        <v>37</v>
      </c>
      <c r="J7" s="6">
        <v>0</v>
      </c>
      <c r="K7" s="6">
        <v>13</v>
      </c>
    </row>
    <row r="8" spans="1:15" x14ac:dyDescent="0.2">
      <c r="A8" s="5">
        <v>39364</v>
      </c>
      <c r="B8" s="6">
        <v>1</v>
      </c>
      <c r="C8" s="8" t="s">
        <v>74</v>
      </c>
      <c r="D8" s="52" t="s">
        <v>177</v>
      </c>
      <c r="E8" s="6" t="s">
        <v>75</v>
      </c>
      <c r="F8" s="6">
        <v>6</v>
      </c>
      <c r="G8" s="6">
        <v>19</v>
      </c>
      <c r="H8" s="86">
        <f t="shared" si="0"/>
        <v>3.1666666666666665</v>
      </c>
      <c r="I8" s="6">
        <v>22</v>
      </c>
      <c r="J8" s="6">
        <v>0</v>
      </c>
      <c r="K8" s="6">
        <v>4</v>
      </c>
    </row>
    <row r="9" spans="1:15" ht="13.5" thickBot="1" x14ac:dyDescent="0.25">
      <c r="A9" s="5">
        <v>39364</v>
      </c>
      <c r="B9" s="6">
        <v>1</v>
      </c>
      <c r="C9" s="8" t="s">
        <v>86</v>
      </c>
      <c r="D9" s="52" t="s">
        <v>186</v>
      </c>
      <c r="E9" s="6" t="s">
        <v>85</v>
      </c>
      <c r="F9" s="80">
        <v>6</v>
      </c>
      <c r="G9" s="80">
        <v>4</v>
      </c>
      <c r="H9" s="87">
        <f t="shared" si="0"/>
        <v>0.66666666666666663</v>
      </c>
      <c r="I9" s="80">
        <v>5</v>
      </c>
      <c r="J9" s="80">
        <v>0</v>
      </c>
      <c r="K9" s="80">
        <v>2</v>
      </c>
    </row>
    <row r="10" spans="1:15" x14ac:dyDescent="0.2">
      <c r="A10" s="5"/>
      <c r="B10" s="6"/>
      <c r="C10" s="8"/>
      <c r="D10" s="8"/>
      <c r="E10" s="6"/>
      <c r="F10" s="3">
        <f>SUM(F4:F9)</f>
        <v>31</v>
      </c>
      <c r="G10" s="3">
        <f>SUM(G4:G9)</f>
        <v>189</v>
      </c>
      <c r="H10" s="88">
        <f t="shared" si="0"/>
        <v>6.096774193548387</v>
      </c>
      <c r="I10" s="3">
        <f>SUM(I4:I9)</f>
        <v>93</v>
      </c>
      <c r="J10" s="3">
        <f>SUM(J4:J9)</f>
        <v>0</v>
      </c>
      <c r="K10" s="3">
        <f>SUM(K4:K9)</f>
        <v>36</v>
      </c>
    </row>
    <row r="11" spans="1:15" x14ac:dyDescent="0.2">
      <c r="A11" s="5"/>
      <c r="B11" s="6"/>
      <c r="C11" s="8"/>
      <c r="D11" s="8"/>
      <c r="E11" s="6"/>
      <c r="F11" s="6"/>
      <c r="G11" s="6"/>
      <c r="H11" s="6"/>
      <c r="I11" s="6"/>
      <c r="J11" s="6"/>
      <c r="K11" s="6"/>
    </row>
    <row r="12" spans="1:15" x14ac:dyDescent="0.2">
      <c r="A12" s="5"/>
      <c r="E12" s="6"/>
      <c r="F12" s="6"/>
      <c r="G12" s="6"/>
      <c r="H12" s="6"/>
      <c r="I12" s="6"/>
      <c r="J12" s="6"/>
      <c r="K12" s="6"/>
    </row>
    <row r="13" spans="1:15" x14ac:dyDescent="0.2">
      <c r="A13" s="5"/>
      <c r="B13" s="6"/>
      <c r="F13" s="6"/>
      <c r="G13" s="105" t="s">
        <v>209</v>
      </c>
      <c r="H13" s="103"/>
      <c r="I13" s="103"/>
      <c r="J13" s="103"/>
      <c r="K13" s="103"/>
      <c r="L13" s="103"/>
      <c r="M13" s="103"/>
      <c r="N13" s="104"/>
      <c r="O13" s="99"/>
    </row>
    <row r="14" spans="1:15" x14ac:dyDescent="0.2">
      <c r="A14" s="5"/>
      <c r="B14" s="6"/>
      <c r="C14" s="8"/>
      <c r="D14" s="8"/>
      <c r="E14" s="6"/>
      <c r="F14" s="6"/>
      <c r="G14" s="6"/>
      <c r="H14" s="6"/>
      <c r="I14" s="6"/>
      <c r="J14" s="6"/>
      <c r="K14" s="6"/>
    </row>
    <row r="15" spans="1:15" x14ac:dyDescent="0.2">
      <c r="A15" s="5"/>
      <c r="B15" s="6"/>
      <c r="C15" s="8"/>
      <c r="D15" s="12"/>
      <c r="F15" s="8"/>
      <c r="G15" s="6"/>
      <c r="H15" s="6"/>
      <c r="I15" s="6"/>
      <c r="J15" s="6"/>
      <c r="K15" s="6"/>
    </row>
    <row r="16" spans="1:15" x14ac:dyDescent="0.2">
      <c r="A16" s="5"/>
      <c r="B16" s="6"/>
      <c r="C16" s="8"/>
      <c r="D16" s="8"/>
      <c r="E16" s="6"/>
      <c r="F16" s="6"/>
      <c r="G16" s="6"/>
      <c r="H16" s="6"/>
      <c r="I16" s="6"/>
      <c r="J16" s="6"/>
      <c r="K16" s="6"/>
    </row>
    <row r="17" spans="1:11" x14ac:dyDescent="0.2">
      <c r="A17" s="6"/>
      <c r="B17" s="6"/>
      <c r="C17" s="8"/>
      <c r="D17" s="8"/>
      <c r="E17" s="6"/>
      <c r="F17" s="6"/>
      <c r="G17" s="6"/>
      <c r="H17" s="6"/>
      <c r="I17" s="6"/>
      <c r="J17" s="6"/>
      <c r="K17" s="6"/>
    </row>
    <row r="18" spans="1:11" x14ac:dyDescent="0.2">
      <c r="A18" s="6"/>
      <c r="B18" s="6"/>
      <c r="C18" s="8"/>
      <c r="D18" s="8"/>
      <c r="E18" s="6"/>
      <c r="F18" s="6"/>
      <c r="G18" s="6"/>
      <c r="H18" s="6"/>
      <c r="I18" s="6"/>
      <c r="J18" s="6"/>
      <c r="K18" s="6"/>
    </row>
    <row r="19" spans="1:11" x14ac:dyDescent="0.2">
      <c r="A19" s="6"/>
      <c r="B19" s="6"/>
      <c r="C19" s="8"/>
      <c r="D19" s="8"/>
      <c r="E19" s="6"/>
      <c r="F19" s="6"/>
      <c r="G19" s="6"/>
      <c r="H19" s="6"/>
      <c r="I19" s="6"/>
      <c r="J19" s="6"/>
      <c r="K19" s="6"/>
    </row>
    <row r="20" spans="1:11" x14ac:dyDescent="0.2">
      <c r="A20" s="6"/>
      <c r="B20" s="6"/>
      <c r="C20" s="8"/>
      <c r="D20" s="8"/>
      <c r="E20" s="6"/>
      <c r="F20" s="6"/>
      <c r="G20" s="6"/>
      <c r="H20" s="6"/>
      <c r="I20" s="6"/>
      <c r="J20" s="6"/>
      <c r="K20" s="6"/>
    </row>
    <row r="21" spans="1:11" x14ac:dyDescent="0.2">
      <c r="A21" s="6"/>
      <c r="B21" s="6"/>
      <c r="C21" s="8"/>
      <c r="D21" s="8"/>
      <c r="E21" s="6"/>
      <c r="F21" s="6"/>
      <c r="G21" s="6"/>
      <c r="H21" s="6"/>
      <c r="I21" s="6"/>
      <c r="J21" s="6"/>
      <c r="K21" s="6"/>
    </row>
    <row r="22" spans="1:11" x14ac:dyDescent="0.2">
      <c r="A22" s="6"/>
      <c r="B22" s="6"/>
      <c r="C22" s="8"/>
      <c r="D22" s="8"/>
      <c r="E22" s="6"/>
      <c r="F22" s="6"/>
      <c r="G22" s="6"/>
      <c r="H22" s="6"/>
      <c r="I22" s="6"/>
      <c r="J22" s="6"/>
      <c r="K22" s="6"/>
    </row>
    <row r="23" spans="1:11" x14ac:dyDescent="0.2">
      <c r="A23" s="6"/>
      <c r="B23" s="6"/>
      <c r="C23" s="8"/>
      <c r="D23" s="8"/>
      <c r="E23" s="6"/>
      <c r="F23" s="6"/>
      <c r="G23" s="6"/>
      <c r="H23" s="6"/>
      <c r="I23" s="6"/>
      <c r="J23" s="6"/>
      <c r="K23" s="6"/>
    </row>
    <row r="24" spans="1:11" x14ac:dyDescent="0.2">
      <c r="A24" s="6"/>
      <c r="B24" s="6"/>
      <c r="C24" s="8"/>
      <c r="D24" s="8"/>
      <c r="E24" s="6"/>
      <c r="F24" s="6"/>
      <c r="G24" s="6"/>
      <c r="H24" s="6"/>
      <c r="I24" s="6"/>
      <c r="J24" s="6"/>
      <c r="K24" s="6"/>
    </row>
    <row r="25" spans="1:11" x14ac:dyDescent="0.2">
      <c r="A25" s="6"/>
      <c r="B25" s="6"/>
      <c r="C25" s="8"/>
      <c r="D25" s="8"/>
      <c r="E25" s="6"/>
      <c r="F25" s="6"/>
      <c r="G25" s="6"/>
      <c r="H25" s="6"/>
      <c r="I25" s="6"/>
      <c r="J25" s="6"/>
      <c r="K25" s="6"/>
    </row>
    <row r="26" spans="1:11" x14ac:dyDescent="0.2">
      <c r="A26" s="6"/>
      <c r="B26" s="6"/>
      <c r="C26" s="8"/>
      <c r="D26" s="8"/>
      <c r="E26" s="6"/>
      <c r="F26" s="6"/>
      <c r="G26" s="6"/>
      <c r="H26" s="6"/>
      <c r="I26" s="6"/>
      <c r="J26" s="6"/>
      <c r="K26" s="6"/>
    </row>
    <row r="27" spans="1:11" x14ac:dyDescent="0.2">
      <c r="A27" s="6"/>
      <c r="B27" s="6"/>
      <c r="C27" s="8"/>
      <c r="D27" s="8"/>
      <c r="E27" s="6"/>
      <c r="F27" s="6"/>
      <c r="G27" s="6"/>
      <c r="H27" s="6"/>
      <c r="I27" s="6"/>
      <c r="J27" s="6"/>
      <c r="K27" s="6"/>
    </row>
    <row r="28" spans="1:11" x14ac:dyDescent="0.2">
      <c r="A28" s="6"/>
      <c r="B28" s="6"/>
      <c r="C28" s="8"/>
      <c r="D28" s="8"/>
      <c r="E28" s="6"/>
      <c r="F28" s="6"/>
      <c r="G28" s="6"/>
      <c r="H28" s="6"/>
      <c r="I28" s="6"/>
      <c r="J28" s="6"/>
      <c r="K28" s="6"/>
    </row>
    <row r="29" spans="1:11" x14ac:dyDescent="0.2">
      <c r="A29" s="6"/>
      <c r="B29" s="6"/>
      <c r="C29" s="8"/>
      <c r="D29" s="8"/>
      <c r="E29" s="6"/>
      <c r="F29" s="6"/>
      <c r="G29" s="6"/>
      <c r="H29" s="6"/>
      <c r="I29" s="6"/>
      <c r="J29" s="6"/>
      <c r="K29" s="6"/>
    </row>
    <row r="30" spans="1:11" x14ac:dyDescent="0.2">
      <c r="A30" s="6"/>
      <c r="B30" s="6"/>
      <c r="C30" s="8"/>
      <c r="D30" s="8"/>
      <c r="E30" s="6"/>
      <c r="F30" s="6"/>
      <c r="G30" s="6"/>
      <c r="H30" s="6"/>
      <c r="I30" s="6"/>
      <c r="J30" s="6"/>
      <c r="K30" s="6"/>
    </row>
    <row r="31" spans="1:11" x14ac:dyDescent="0.2">
      <c r="A31" s="6"/>
      <c r="B31" s="6"/>
      <c r="C31" s="8"/>
      <c r="D31" s="8"/>
      <c r="E31" s="6"/>
      <c r="F31" s="6"/>
      <c r="G31" s="6"/>
      <c r="H31" s="6"/>
      <c r="I31" s="6"/>
      <c r="J31" s="6"/>
      <c r="K31" s="6"/>
    </row>
    <row r="32" spans="1:11" x14ac:dyDescent="0.2">
      <c r="A32" s="6"/>
      <c r="B32" s="6"/>
      <c r="C32" s="8"/>
      <c r="D32" s="8"/>
      <c r="E32" s="6"/>
      <c r="F32" s="6"/>
      <c r="G32" s="6"/>
      <c r="H32" s="6"/>
      <c r="I32" s="6"/>
      <c r="J32" s="6"/>
      <c r="K32" s="6"/>
    </row>
    <row r="33" spans="1:11" x14ac:dyDescent="0.2">
      <c r="A33" s="6"/>
      <c r="B33" s="6"/>
      <c r="C33" s="8"/>
      <c r="D33" s="8"/>
      <c r="E33" s="6"/>
      <c r="F33" s="6"/>
      <c r="G33" s="6"/>
      <c r="H33" s="6"/>
      <c r="I33" s="6"/>
      <c r="J33" s="6"/>
      <c r="K33" s="6"/>
    </row>
    <row r="34" spans="1:11" x14ac:dyDescent="0.2">
      <c r="A34" s="6"/>
      <c r="B34" s="6"/>
      <c r="C34" s="8"/>
      <c r="D34" s="8"/>
      <c r="E34" s="6"/>
      <c r="F34" s="6"/>
      <c r="G34" s="6"/>
      <c r="H34" s="6"/>
      <c r="I34" s="6"/>
      <c r="J34" s="6"/>
      <c r="K34" s="6"/>
    </row>
    <row r="35" spans="1:11" x14ac:dyDescent="0.2">
      <c r="A35" s="6"/>
      <c r="B35" s="6"/>
      <c r="C35" s="8"/>
      <c r="D35" s="8"/>
      <c r="E35" s="6"/>
      <c r="F35" s="6"/>
      <c r="G35" s="6"/>
      <c r="H35" s="6"/>
      <c r="I35" s="6"/>
      <c r="J35" s="6"/>
      <c r="K35" s="6"/>
    </row>
    <row r="36" spans="1:11" x14ac:dyDescent="0.2">
      <c r="A36" s="6"/>
      <c r="B36" s="6"/>
      <c r="C36" s="8"/>
      <c r="D36" s="8"/>
      <c r="E36" s="6"/>
      <c r="F36" s="6"/>
      <c r="G36" s="6"/>
      <c r="H36" s="6"/>
      <c r="I36" s="6"/>
      <c r="J36" s="6"/>
      <c r="K36" s="6"/>
    </row>
    <row r="37" spans="1:11" x14ac:dyDescent="0.2">
      <c r="A37" s="6"/>
      <c r="B37" s="6"/>
      <c r="C37" s="8"/>
      <c r="D37" s="8"/>
      <c r="E37" s="6"/>
      <c r="F37" s="6"/>
      <c r="G37" s="6"/>
      <c r="H37" s="6"/>
      <c r="I37" s="6"/>
      <c r="J37" s="6"/>
      <c r="K37" s="6"/>
    </row>
    <row r="38" spans="1:11" x14ac:dyDescent="0.2">
      <c r="A38" s="6"/>
      <c r="B38" s="6"/>
      <c r="C38" s="8"/>
      <c r="D38" s="8"/>
      <c r="E38" s="6"/>
      <c r="F38" s="6"/>
      <c r="G38" s="6"/>
      <c r="H38" s="6"/>
      <c r="I38" s="6"/>
      <c r="J38" s="6"/>
      <c r="K38" s="6"/>
    </row>
    <row r="39" spans="1:11" x14ac:dyDescent="0.2">
      <c r="A39" s="6"/>
      <c r="B39" s="6"/>
      <c r="C39" s="8"/>
      <c r="D39" s="8"/>
      <c r="E39" s="6"/>
      <c r="F39" s="6"/>
      <c r="G39" s="6"/>
      <c r="H39" s="6"/>
      <c r="I39" s="6"/>
      <c r="J39" s="6"/>
      <c r="K39" s="6"/>
    </row>
    <row r="40" spans="1:11" x14ac:dyDescent="0.2">
      <c r="A40" s="6"/>
      <c r="B40" s="6"/>
      <c r="C40" s="8"/>
      <c r="D40" s="8"/>
      <c r="E40" s="6"/>
      <c r="F40" s="6"/>
      <c r="G40" s="6"/>
      <c r="H40" s="6"/>
      <c r="I40" s="6"/>
      <c r="J40" s="6"/>
      <c r="K40" s="6"/>
    </row>
    <row r="41" spans="1:11" x14ac:dyDescent="0.2">
      <c r="A41" s="6"/>
      <c r="B41" s="6"/>
      <c r="C41" s="8"/>
      <c r="D41" s="8"/>
      <c r="E41" s="6"/>
      <c r="F41" s="6"/>
      <c r="G41" s="6"/>
      <c r="H41" s="6"/>
      <c r="I41" s="6"/>
      <c r="J41" s="6"/>
      <c r="K41" s="6"/>
    </row>
    <row r="42" spans="1:11" x14ac:dyDescent="0.2">
      <c r="A42" s="6"/>
      <c r="B42" s="6"/>
      <c r="C42" s="8"/>
      <c r="D42" s="8"/>
      <c r="E42" s="6"/>
      <c r="F42" s="6"/>
      <c r="G42" s="6"/>
      <c r="H42" s="6"/>
      <c r="I42" s="6"/>
      <c r="J42" s="6"/>
      <c r="K42" s="6"/>
    </row>
    <row r="43" spans="1:11" x14ac:dyDescent="0.2">
      <c r="A43" s="6"/>
      <c r="B43" s="6"/>
      <c r="C43" s="8"/>
      <c r="D43" s="8"/>
      <c r="E43" s="6"/>
      <c r="F43" s="6"/>
      <c r="G43" s="6"/>
      <c r="H43" s="6"/>
      <c r="I43" s="6"/>
      <c r="J43" s="6"/>
      <c r="K43" s="6"/>
    </row>
    <row r="44" spans="1:11" x14ac:dyDescent="0.2">
      <c r="A44" s="6"/>
      <c r="B44" s="6"/>
      <c r="C44" s="8"/>
      <c r="D44" s="8"/>
      <c r="E44" s="6"/>
      <c r="F44" s="6"/>
      <c r="G44" s="6"/>
      <c r="H44" s="6"/>
      <c r="I44" s="6"/>
      <c r="J44" s="6"/>
      <c r="K44" s="6"/>
    </row>
    <row r="45" spans="1:11" x14ac:dyDescent="0.2">
      <c r="A45" s="6"/>
      <c r="B45" s="6"/>
      <c r="C45" s="8"/>
      <c r="D45" s="8"/>
      <c r="E45" s="6"/>
      <c r="F45" s="6"/>
      <c r="G45" s="6"/>
      <c r="H45" s="6"/>
      <c r="I45" s="6"/>
      <c r="J45" s="6"/>
      <c r="K45" s="6"/>
    </row>
    <row r="46" spans="1:11" x14ac:dyDescent="0.2">
      <c r="A46" s="6"/>
      <c r="B46" s="6"/>
      <c r="C46" s="8"/>
      <c r="D46" s="8"/>
      <c r="E46" s="6"/>
      <c r="F46" s="6"/>
      <c r="G46" s="6"/>
      <c r="H46" s="6"/>
      <c r="I46" s="6"/>
      <c r="J46" s="6"/>
      <c r="K46" s="6"/>
    </row>
    <row r="47" spans="1:11" x14ac:dyDescent="0.2">
      <c r="A47" s="6"/>
      <c r="B47" s="6"/>
      <c r="C47" s="8"/>
      <c r="D47" s="8"/>
      <c r="E47" s="6"/>
      <c r="F47" s="6"/>
      <c r="G47" s="6"/>
      <c r="H47" s="6"/>
      <c r="I47" s="6"/>
      <c r="J47" s="6"/>
      <c r="K47" s="6"/>
    </row>
    <row r="48" spans="1:11" x14ac:dyDescent="0.2">
      <c r="A48" s="6"/>
      <c r="B48" s="6"/>
      <c r="C48" s="8"/>
      <c r="D48" s="8"/>
      <c r="E48" s="6"/>
      <c r="F48" s="6"/>
      <c r="G48" s="6"/>
      <c r="H48" s="6"/>
      <c r="I48" s="6"/>
      <c r="J48" s="6"/>
      <c r="K48" s="6"/>
    </row>
    <row r="49" spans="1:11" x14ac:dyDescent="0.2">
      <c r="A49" s="6"/>
      <c r="B49" s="6"/>
      <c r="C49" s="8"/>
      <c r="D49" s="8"/>
      <c r="E49" s="6"/>
      <c r="F49" s="6"/>
      <c r="G49" s="6"/>
      <c r="H49" s="6"/>
      <c r="I49" s="6"/>
      <c r="J49" s="6"/>
      <c r="K49" s="6"/>
    </row>
    <row r="50" spans="1:11" x14ac:dyDescent="0.2">
      <c r="A50" s="6"/>
      <c r="B50" s="6"/>
      <c r="C50" s="8"/>
      <c r="D50" s="8"/>
      <c r="E50" s="6"/>
      <c r="F50" s="6"/>
      <c r="G50" s="6"/>
      <c r="H50" s="6"/>
      <c r="I50" s="6"/>
      <c r="J50" s="6"/>
      <c r="K50" s="6"/>
    </row>
    <row r="51" spans="1:11" x14ac:dyDescent="0.2">
      <c r="A51" s="6"/>
      <c r="B51" s="6"/>
      <c r="C51" s="8"/>
      <c r="D51" s="8"/>
      <c r="E51" s="6"/>
      <c r="F51" s="6"/>
      <c r="G51" s="6"/>
      <c r="H51" s="6"/>
      <c r="I51" s="6"/>
      <c r="J51" s="6"/>
      <c r="K51" s="6"/>
    </row>
    <row r="52" spans="1:11" x14ac:dyDescent="0.2">
      <c r="A52" s="6"/>
      <c r="B52" s="6"/>
      <c r="C52" s="8"/>
      <c r="D52" s="8"/>
      <c r="E52" s="6"/>
      <c r="F52" s="6"/>
      <c r="G52" s="6"/>
      <c r="H52" s="6"/>
      <c r="I52" s="6"/>
      <c r="J52" s="6"/>
      <c r="K52" s="6"/>
    </row>
    <row r="53" spans="1:11" x14ac:dyDescent="0.2">
      <c r="A53" s="6"/>
      <c r="B53" s="6"/>
      <c r="C53" s="8"/>
      <c r="D53" s="8"/>
      <c r="E53" s="6"/>
      <c r="F53" s="6"/>
      <c r="G53" s="6"/>
      <c r="H53" s="6"/>
      <c r="I53" s="6"/>
      <c r="J53" s="6"/>
      <c r="K53" s="6"/>
    </row>
    <row r="54" spans="1:11" x14ac:dyDescent="0.2">
      <c r="A54" s="6"/>
      <c r="B54" s="6"/>
      <c r="C54" s="8"/>
      <c r="D54" s="8"/>
      <c r="E54" s="6"/>
      <c r="F54" s="6"/>
      <c r="G54" s="6"/>
      <c r="H54" s="6"/>
      <c r="I54" s="6"/>
      <c r="J54" s="6"/>
      <c r="K54" s="6"/>
    </row>
    <row r="55" spans="1:11" x14ac:dyDescent="0.2">
      <c r="A55" s="6"/>
      <c r="B55" s="6"/>
      <c r="C55" s="8"/>
      <c r="D55" s="8"/>
      <c r="E55" s="6"/>
      <c r="F55" s="6"/>
      <c r="G55" s="6"/>
      <c r="H55" s="6"/>
      <c r="I55" s="6"/>
      <c r="J55" s="6"/>
      <c r="K55" s="6"/>
    </row>
    <row r="56" spans="1:11" x14ac:dyDescent="0.2">
      <c r="A56" s="6"/>
      <c r="B56" s="6"/>
      <c r="C56" s="8"/>
      <c r="D56" s="8"/>
      <c r="E56" s="6"/>
      <c r="F56" s="6"/>
      <c r="G56" s="6"/>
      <c r="H56" s="6"/>
      <c r="I56" s="6"/>
      <c r="J56" s="6"/>
      <c r="K56" s="6"/>
    </row>
    <row r="57" spans="1:11" x14ac:dyDescent="0.2">
      <c r="A57" s="6"/>
      <c r="B57" s="6"/>
      <c r="C57" s="8"/>
      <c r="D57" s="8"/>
      <c r="E57" s="6"/>
      <c r="F57" s="6"/>
      <c r="G57" s="6"/>
      <c r="H57" s="6"/>
      <c r="I57" s="6"/>
      <c r="J57" s="6"/>
      <c r="K57" s="6"/>
    </row>
    <row r="58" spans="1:11" x14ac:dyDescent="0.2">
      <c r="A58" s="6"/>
      <c r="B58" s="6"/>
      <c r="C58" s="8"/>
      <c r="D58" s="8"/>
      <c r="E58" s="6"/>
      <c r="F58" s="6"/>
      <c r="G58" s="6"/>
      <c r="H58" s="6"/>
      <c r="I58" s="6"/>
      <c r="J58" s="6"/>
      <c r="K58" s="6"/>
    </row>
    <row r="59" spans="1:11" x14ac:dyDescent="0.2">
      <c r="A59" s="6"/>
      <c r="B59" s="6"/>
      <c r="C59" s="8"/>
      <c r="D59" s="8"/>
      <c r="E59" s="6"/>
      <c r="F59" s="6"/>
      <c r="G59" s="6"/>
      <c r="H59" s="6"/>
      <c r="I59" s="6"/>
      <c r="J59" s="6"/>
      <c r="K59" s="6"/>
    </row>
    <row r="60" spans="1:11" x14ac:dyDescent="0.2">
      <c r="A60" s="6"/>
      <c r="B60" s="6"/>
      <c r="C60" s="8"/>
      <c r="D60" s="8"/>
      <c r="E60" s="6"/>
      <c r="F60" s="6"/>
      <c r="G60" s="6"/>
      <c r="H60" s="6"/>
      <c r="I60" s="6"/>
      <c r="J60" s="6"/>
      <c r="K60" s="6"/>
    </row>
    <row r="61" spans="1:11" x14ac:dyDescent="0.2">
      <c r="A61" s="6"/>
      <c r="B61" s="6"/>
      <c r="C61" s="8"/>
      <c r="D61" s="8"/>
      <c r="E61" s="6"/>
      <c r="F61" s="6"/>
      <c r="G61" s="6"/>
      <c r="H61" s="6"/>
      <c r="I61" s="6"/>
      <c r="J61" s="6"/>
      <c r="K61" s="6"/>
    </row>
    <row r="62" spans="1:11" x14ac:dyDescent="0.2">
      <c r="A62" s="6"/>
      <c r="B62" s="6"/>
      <c r="C62" s="8"/>
      <c r="D62" s="8"/>
      <c r="E62" s="6"/>
      <c r="F62" s="6"/>
      <c r="G62" s="6"/>
      <c r="H62" s="6"/>
      <c r="I62" s="6"/>
      <c r="J62" s="6"/>
      <c r="K62" s="6"/>
    </row>
    <row r="63" spans="1:11" x14ac:dyDescent="0.2">
      <c r="A63" s="6"/>
      <c r="B63" s="6"/>
      <c r="C63" s="8"/>
      <c r="D63" s="8"/>
      <c r="E63" s="6"/>
      <c r="F63" s="6"/>
      <c r="G63" s="6"/>
      <c r="H63" s="6"/>
      <c r="I63" s="6"/>
      <c r="J63" s="6"/>
      <c r="K63" s="6"/>
    </row>
    <row r="64" spans="1:11" x14ac:dyDescent="0.2">
      <c r="A64" s="6"/>
      <c r="B64" s="6"/>
      <c r="C64" s="8"/>
      <c r="D64" s="8"/>
      <c r="E64" s="6"/>
      <c r="F64" s="6"/>
      <c r="G64" s="6"/>
      <c r="H64" s="6"/>
      <c r="I64" s="6"/>
      <c r="J64" s="6"/>
      <c r="K64" s="6"/>
    </row>
    <row r="65" spans="1:11" x14ac:dyDescent="0.2">
      <c r="A65" s="6"/>
      <c r="B65" s="6"/>
      <c r="C65" s="8"/>
      <c r="D65" s="8"/>
      <c r="E65" s="6"/>
      <c r="F65" s="6"/>
      <c r="G65" s="6"/>
      <c r="H65" s="6"/>
      <c r="I65" s="6"/>
      <c r="J65" s="6"/>
      <c r="K65" s="6"/>
    </row>
    <row r="66" spans="1:11" x14ac:dyDescent="0.2">
      <c r="A66" s="6"/>
      <c r="B66" s="6"/>
      <c r="C66" s="8"/>
      <c r="D66" s="8"/>
      <c r="E66" s="6"/>
      <c r="F66" s="6"/>
      <c r="G66" s="6"/>
      <c r="H66" s="6"/>
      <c r="I66" s="6"/>
      <c r="J66" s="6"/>
      <c r="K66" s="6"/>
    </row>
    <row r="67" spans="1:11" x14ac:dyDescent="0.2">
      <c r="A67" s="6"/>
      <c r="B67" s="6"/>
      <c r="C67" s="8"/>
      <c r="D67" s="8"/>
      <c r="E67" s="6"/>
      <c r="F67" s="6"/>
      <c r="G67" s="6"/>
      <c r="H67" s="6"/>
      <c r="I67" s="6"/>
      <c r="J67" s="6"/>
      <c r="K67" s="6"/>
    </row>
    <row r="68" spans="1:11" x14ac:dyDescent="0.2">
      <c r="A68" s="6"/>
      <c r="B68" s="6"/>
      <c r="C68" s="8"/>
      <c r="D68" s="8"/>
      <c r="E68" s="6"/>
      <c r="F68" s="6"/>
      <c r="G68" s="6"/>
      <c r="H68" s="6"/>
      <c r="I68" s="6"/>
      <c r="J68" s="6"/>
      <c r="K68" s="6"/>
    </row>
    <row r="69" spans="1:11" x14ac:dyDescent="0.2">
      <c r="A69" s="6"/>
      <c r="B69" s="6"/>
      <c r="C69" s="8"/>
      <c r="D69" s="8"/>
      <c r="E69" s="6"/>
      <c r="F69" s="6"/>
      <c r="G69" s="6"/>
      <c r="H69" s="6"/>
      <c r="I69" s="6"/>
      <c r="J69" s="6"/>
      <c r="K69" s="6"/>
    </row>
    <row r="70" spans="1:11" x14ac:dyDescent="0.2">
      <c r="A70" s="6"/>
      <c r="B70" s="6"/>
      <c r="C70" s="8"/>
      <c r="D70" s="8"/>
      <c r="E70" s="6"/>
      <c r="F70" s="6"/>
      <c r="G70" s="6"/>
      <c r="H70" s="6"/>
      <c r="I70" s="6"/>
      <c r="J70" s="6"/>
      <c r="K70" s="6"/>
    </row>
    <row r="71" spans="1:11" x14ac:dyDescent="0.2">
      <c r="A71" s="6"/>
      <c r="B71" s="6"/>
      <c r="C71" s="8"/>
      <c r="D71" s="8"/>
      <c r="E71" s="6"/>
      <c r="F71" s="6"/>
      <c r="G71" s="6"/>
      <c r="H71" s="6"/>
      <c r="I71" s="6"/>
      <c r="J71" s="6"/>
      <c r="K71" s="6"/>
    </row>
    <row r="72" spans="1:11" x14ac:dyDescent="0.2">
      <c r="A72" s="6"/>
      <c r="B72" s="6"/>
      <c r="C72" s="8"/>
      <c r="D72" s="8"/>
      <c r="E72" s="6"/>
      <c r="F72" s="6"/>
      <c r="G72" s="6"/>
      <c r="H72" s="6"/>
      <c r="I72" s="6"/>
      <c r="J72" s="6"/>
      <c r="K72" s="6"/>
    </row>
  </sheetData>
  <phoneticPr fontId="0" type="noConversion"/>
  <pageMargins left="0.75" right="0.75" top="1" bottom="1" header="0.5" footer="0.5"/>
  <pageSetup orientation="portrait" r:id="rId1"/>
  <headerFooter alignWithMargins="0"/>
  <ignoredErrors>
    <ignoredError sqref="H10" formula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39"/>
  <sheetViews>
    <sheetView workbookViewId="0">
      <selection activeCell="H41" sqref="H41"/>
    </sheetView>
  </sheetViews>
  <sheetFormatPr defaultRowHeight="12.75" x14ac:dyDescent="0.2"/>
  <cols>
    <col min="5" max="5" width="21.85546875" customWidth="1"/>
  </cols>
  <sheetData>
    <row r="1" spans="1:11" x14ac:dyDescent="0.2">
      <c r="B1" s="2"/>
      <c r="C1" s="2"/>
      <c r="D1" s="2" t="s">
        <v>25</v>
      </c>
      <c r="E1" s="2"/>
      <c r="F1" s="2" t="s">
        <v>4</v>
      </c>
      <c r="G1" s="2"/>
      <c r="H1" s="2" t="s">
        <v>3</v>
      </c>
      <c r="I1" s="3" t="s">
        <v>24</v>
      </c>
      <c r="J1" s="3"/>
      <c r="K1" s="3"/>
    </row>
    <row r="2" spans="1:11" x14ac:dyDescent="0.2">
      <c r="A2" s="2" t="s">
        <v>101</v>
      </c>
      <c r="B2" s="2" t="s">
        <v>0</v>
      </c>
      <c r="C2" s="2" t="s">
        <v>1</v>
      </c>
      <c r="D2" s="2" t="s">
        <v>26</v>
      </c>
      <c r="E2" s="2" t="s">
        <v>2</v>
      </c>
      <c r="F2" s="2" t="s">
        <v>26</v>
      </c>
      <c r="G2" s="2" t="s">
        <v>3</v>
      </c>
      <c r="H2" s="2" t="s">
        <v>73</v>
      </c>
      <c r="I2" s="2" t="s">
        <v>5</v>
      </c>
      <c r="J2" s="2" t="s">
        <v>8</v>
      </c>
      <c r="K2" s="2"/>
    </row>
    <row r="3" spans="1:11" ht="13.5" thickBot="1" x14ac:dyDescent="0.25">
      <c r="B3" s="1"/>
      <c r="I3" s="1"/>
      <c r="J3" s="4" t="s">
        <v>6</v>
      </c>
      <c r="K3" s="4" t="s">
        <v>7</v>
      </c>
    </row>
    <row r="4" spans="1:11" x14ac:dyDescent="0.2">
      <c r="A4" s="6">
        <v>1954</v>
      </c>
      <c r="B4" s="5">
        <v>39328</v>
      </c>
      <c r="D4" s="8" t="s">
        <v>30</v>
      </c>
      <c r="E4" s="6" t="s">
        <v>12</v>
      </c>
      <c r="F4" s="6">
        <v>5</v>
      </c>
      <c r="G4" s="6">
        <v>33</v>
      </c>
      <c r="H4" s="6"/>
      <c r="I4" s="6">
        <v>52</v>
      </c>
      <c r="J4" s="6">
        <v>0</v>
      </c>
      <c r="K4" s="6">
        <v>3</v>
      </c>
    </row>
    <row r="5" spans="1:11" x14ac:dyDescent="0.2">
      <c r="A5" s="6">
        <v>1955</v>
      </c>
      <c r="B5" s="5">
        <v>39320</v>
      </c>
      <c r="D5" s="8" t="s">
        <v>30</v>
      </c>
      <c r="E5" s="6" t="s">
        <v>12</v>
      </c>
      <c r="F5" s="6">
        <v>5</v>
      </c>
      <c r="G5" s="6">
        <v>0</v>
      </c>
      <c r="H5" s="6"/>
      <c r="I5" s="6">
        <v>80</v>
      </c>
      <c r="J5" s="6">
        <v>0</v>
      </c>
      <c r="K5" s="6">
        <v>0</v>
      </c>
    </row>
    <row r="6" spans="1:11" x14ac:dyDescent="0.2">
      <c r="A6" s="6">
        <v>1956</v>
      </c>
      <c r="B6" s="6" t="s">
        <v>102</v>
      </c>
      <c r="D6" s="8"/>
      <c r="E6" s="6"/>
      <c r="F6" s="6"/>
      <c r="G6" s="6"/>
      <c r="H6" s="6"/>
      <c r="I6" s="6"/>
      <c r="J6" s="6"/>
      <c r="K6" s="6"/>
    </row>
    <row r="7" spans="1:11" x14ac:dyDescent="0.2">
      <c r="A7" s="6">
        <v>1957</v>
      </c>
      <c r="B7" s="5">
        <v>39330</v>
      </c>
      <c r="D7" s="8" t="s">
        <v>30</v>
      </c>
      <c r="E7" s="6" t="s">
        <v>12</v>
      </c>
      <c r="F7" s="6">
        <v>5</v>
      </c>
      <c r="G7" s="6">
        <v>168</v>
      </c>
      <c r="H7" s="6"/>
      <c r="I7" s="6">
        <v>232</v>
      </c>
      <c r="J7" s="6">
        <v>0</v>
      </c>
      <c r="K7" s="6">
        <v>51</v>
      </c>
    </row>
    <row r="8" spans="1:11" x14ac:dyDescent="0.2">
      <c r="A8" s="6">
        <v>1958</v>
      </c>
      <c r="B8" s="5">
        <v>39336</v>
      </c>
      <c r="D8" s="8" t="s">
        <v>30</v>
      </c>
      <c r="E8" s="6" t="s">
        <v>12</v>
      </c>
      <c r="F8" s="6">
        <v>5</v>
      </c>
      <c r="G8" s="6">
        <v>54</v>
      </c>
      <c r="H8" s="6"/>
      <c r="I8" s="6">
        <v>89</v>
      </c>
      <c r="J8" s="6">
        <v>0</v>
      </c>
      <c r="K8" s="6">
        <v>7</v>
      </c>
    </row>
    <row r="9" spans="1:11" x14ac:dyDescent="0.2">
      <c r="A9" s="6">
        <v>1959</v>
      </c>
      <c r="B9" s="5">
        <v>39328</v>
      </c>
      <c r="D9" s="8" t="s">
        <v>30</v>
      </c>
      <c r="E9" s="6" t="s">
        <v>12</v>
      </c>
      <c r="F9" s="6">
        <v>5</v>
      </c>
      <c r="G9" s="6">
        <v>27</v>
      </c>
      <c r="H9" s="6"/>
      <c r="I9" s="6">
        <v>56</v>
      </c>
      <c r="J9" s="6">
        <v>0</v>
      </c>
      <c r="K9" s="6">
        <v>1</v>
      </c>
    </row>
    <row r="10" spans="1:11" x14ac:dyDescent="0.2">
      <c r="A10" s="6">
        <v>1960</v>
      </c>
      <c r="B10" s="5">
        <v>39333</v>
      </c>
      <c r="D10" s="8" t="s">
        <v>30</v>
      </c>
      <c r="E10" s="6" t="s">
        <v>12</v>
      </c>
      <c r="F10" s="6">
        <v>5</v>
      </c>
      <c r="G10" s="6">
        <v>42</v>
      </c>
      <c r="H10" s="6"/>
      <c r="I10" s="6">
        <v>69</v>
      </c>
      <c r="J10" s="6">
        <v>0</v>
      </c>
      <c r="K10" s="6">
        <v>13</v>
      </c>
    </row>
    <row r="11" spans="1:11" x14ac:dyDescent="0.2">
      <c r="A11" s="6">
        <v>1961</v>
      </c>
      <c r="B11" s="5">
        <v>39336</v>
      </c>
      <c r="D11" s="8" t="s">
        <v>30</v>
      </c>
      <c r="E11" s="6" t="s">
        <v>12</v>
      </c>
      <c r="F11" s="6">
        <v>5</v>
      </c>
      <c r="G11" s="6">
        <v>102</v>
      </c>
      <c r="H11" s="6"/>
      <c r="I11" s="6">
        <v>63</v>
      </c>
      <c r="J11" s="6">
        <v>0</v>
      </c>
      <c r="K11" s="6">
        <v>23</v>
      </c>
    </row>
    <row r="12" spans="1:11" x14ac:dyDescent="0.2">
      <c r="A12" s="6">
        <v>1962</v>
      </c>
      <c r="B12" s="5">
        <v>39336</v>
      </c>
      <c r="D12" s="8" t="s">
        <v>30</v>
      </c>
      <c r="E12" s="6" t="s">
        <v>12</v>
      </c>
      <c r="F12" s="6">
        <v>5</v>
      </c>
      <c r="G12" s="6">
        <v>52</v>
      </c>
      <c r="H12" s="6"/>
      <c r="I12" s="6">
        <v>47</v>
      </c>
      <c r="J12" s="6">
        <v>0</v>
      </c>
      <c r="K12" s="6">
        <v>24</v>
      </c>
    </row>
    <row r="13" spans="1:11" x14ac:dyDescent="0.2">
      <c r="A13" s="6">
        <v>1963</v>
      </c>
      <c r="B13" s="5">
        <v>39335</v>
      </c>
      <c r="D13" s="8" t="s">
        <v>30</v>
      </c>
      <c r="E13" s="6" t="s">
        <v>12</v>
      </c>
      <c r="F13" s="6">
        <v>5</v>
      </c>
      <c r="G13" s="6">
        <v>21</v>
      </c>
      <c r="H13" s="6"/>
      <c r="I13" s="6">
        <v>25</v>
      </c>
      <c r="J13" s="6">
        <v>0</v>
      </c>
      <c r="K13" s="6">
        <v>11</v>
      </c>
    </row>
    <row r="14" spans="1:11" x14ac:dyDescent="0.2">
      <c r="A14" s="6">
        <v>1964</v>
      </c>
      <c r="B14" s="5">
        <v>39334</v>
      </c>
      <c r="D14" s="8" t="s">
        <v>30</v>
      </c>
      <c r="E14" s="6" t="s">
        <v>12</v>
      </c>
      <c r="F14" s="6">
        <v>5</v>
      </c>
      <c r="G14" s="6">
        <v>61</v>
      </c>
      <c r="H14" s="6"/>
      <c r="I14" s="6">
        <v>55</v>
      </c>
      <c r="J14" s="6">
        <v>0</v>
      </c>
      <c r="K14" s="6">
        <v>24</v>
      </c>
    </row>
    <row r="15" spans="1:11" x14ac:dyDescent="0.2">
      <c r="A15" s="6">
        <v>1965</v>
      </c>
      <c r="B15" s="5">
        <v>39334</v>
      </c>
      <c r="D15" s="8" t="s">
        <v>30</v>
      </c>
      <c r="E15" s="6" t="s">
        <v>12</v>
      </c>
      <c r="F15" s="6">
        <v>5</v>
      </c>
      <c r="G15" s="6">
        <v>24</v>
      </c>
      <c r="H15" s="6"/>
      <c r="I15" s="6">
        <v>20</v>
      </c>
      <c r="J15" s="6">
        <v>0</v>
      </c>
      <c r="K15" s="6">
        <v>4</v>
      </c>
    </row>
    <row r="16" spans="1:11" x14ac:dyDescent="0.2">
      <c r="A16" s="6">
        <v>1966</v>
      </c>
      <c r="B16" s="5">
        <v>39334</v>
      </c>
      <c r="D16" s="8" t="s">
        <v>30</v>
      </c>
      <c r="E16" s="6" t="s">
        <v>12</v>
      </c>
      <c r="F16" s="6">
        <v>5</v>
      </c>
      <c r="G16" s="6">
        <v>65</v>
      </c>
      <c r="H16" s="6"/>
      <c r="I16" s="6">
        <v>55</v>
      </c>
      <c r="J16" s="6">
        <v>0</v>
      </c>
      <c r="K16" s="6">
        <v>11</v>
      </c>
    </row>
    <row r="17" spans="1:11" x14ac:dyDescent="0.2">
      <c r="A17" s="6">
        <v>1967</v>
      </c>
      <c r="B17" s="5">
        <v>39333</v>
      </c>
      <c r="D17" s="8" t="s">
        <v>30</v>
      </c>
      <c r="E17" s="6" t="s">
        <v>12</v>
      </c>
      <c r="F17" s="6">
        <v>5</v>
      </c>
      <c r="G17" s="6">
        <v>40</v>
      </c>
      <c r="H17" s="6"/>
      <c r="I17" s="6">
        <v>40</v>
      </c>
      <c r="J17" s="6">
        <v>0</v>
      </c>
      <c r="K17" s="6">
        <v>9</v>
      </c>
    </row>
    <row r="18" spans="1:11" x14ac:dyDescent="0.2">
      <c r="A18" s="6">
        <v>1968</v>
      </c>
      <c r="B18" s="5">
        <v>39335</v>
      </c>
      <c r="D18" s="8" t="s">
        <v>30</v>
      </c>
      <c r="E18" s="6" t="s">
        <v>12</v>
      </c>
      <c r="F18" s="6">
        <v>5</v>
      </c>
      <c r="G18" s="6">
        <v>18</v>
      </c>
      <c r="H18" s="6"/>
      <c r="I18" s="6">
        <v>15</v>
      </c>
      <c r="J18" s="6">
        <v>0</v>
      </c>
      <c r="K18" s="6">
        <v>9</v>
      </c>
    </row>
    <row r="19" spans="1:11" x14ac:dyDescent="0.2">
      <c r="A19" s="6">
        <v>1969</v>
      </c>
      <c r="B19" s="5">
        <v>39335</v>
      </c>
      <c r="D19" s="8" t="s">
        <v>30</v>
      </c>
      <c r="E19" s="6" t="s">
        <v>12</v>
      </c>
      <c r="F19" s="6">
        <v>5</v>
      </c>
      <c r="G19" s="6">
        <v>61</v>
      </c>
      <c r="H19" s="6"/>
      <c r="I19" s="6">
        <v>53</v>
      </c>
      <c r="J19" s="6">
        <v>0</v>
      </c>
      <c r="K19" s="6">
        <v>30</v>
      </c>
    </row>
    <row r="20" spans="1:11" x14ac:dyDescent="0.2">
      <c r="A20" s="6">
        <v>1970</v>
      </c>
      <c r="B20" s="5">
        <v>39335</v>
      </c>
      <c r="D20" s="8" t="s">
        <v>30</v>
      </c>
      <c r="E20" s="6" t="s">
        <v>12</v>
      </c>
      <c r="F20" s="6">
        <v>5</v>
      </c>
      <c r="G20" s="6">
        <v>62</v>
      </c>
      <c r="H20" s="6"/>
      <c r="I20" s="6">
        <v>68</v>
      </c>
      <c r="J20" s="6">
        <v>0</v>
      </c>
      <c r="K20" s="6">
        <v>6</v>
      </c>
    </row>
    <row r="21" spans="1:11" x14ac:dyDescent="0.2">
      <c r="A21" s="6">
        <v>1971</v>
      </c>
      <c r="B21" s="5">
        <v>39332</v>
      </c>
      <c r="D21" s="8" t="s">
        <v>30</v>
      </c>
      <c r="E21" s="6" t="s">
        <v>12</v>
      </c>
      <c r="F21" s="6">
        <v>5</v>
      </c>
      <c r="G21" s="6">
        <v>6</v>
      </c>
      <c r="H21" s="6"/>
      <c r="I21" s="6">
        <v>11</v>
      </c>
      <c r="J21" s="6">
        <v>0</v>
      </c>
      <c r="K21" s="6">
        <v>1</v>
      </c>
    </row>
    <row r="22" spans="1:11" x14ac:dyDescent="0.2">
      <c r="A22" s="6">
        <v>1972</v>
      </c>
      <c r="B22" s="5">
        <v>39337</v>
      </c>
      <c r="D22" s="8" t="s">
        <v>30</v>
      </c>
      <c r="E22" s="6" t="s">
        <v>12</v>
      </c>
      <c r="F22" s="6">
        <v>5</v>
      </c>
      <c r="G22" s="6">
        <v>23</v>
      </c>
      <c r="H22" s="6"/>
      <c r="I22" s="6">
        <v>3</v>
      </c>
      <c r="J22" s="6">
        <v>0</v>
      </c>
      <c r="K22" s="6">
        <v>0</v>
      </c>
    </row>
    <row r="23" spans="1:11" x14ac:dyDescent="0.2">
      <c r="A23" s="6">
        <v>1973</v>
      </c>
      <c r="B23" s="5">
        <v>39336</v>
      </c>
      <c r="D23" s="8" t="s">
        <v>30</v>
      </c>
      <c r="E23" s="6" t="s">
        <v>12</v>
      </c>
      <c r="F23" s="6">
        <v>5</v>
      </c>
      <c r="G23" s="6">
        <v>24</v>
      </c>
      <c r="H23" s="6"/>
      <c r="I23" s="6">
        <v>18</v>
      </c>
      <c r="J23" s="6">
        <v>0</v>
      </c>
      <c r="K23" s="6">
        <v>3</v>
      </c>
    </row>
    <row r="24" spans="1:11" x14ac:dyDescent="0.2">
      <c r="A24" s="6">
        <v>1974</v>
      </c>
      <c r="B24" s="5">
        <v>39336</v>
      </c>
      <c r="D24" s="8" t="s">
        <v>30</v>
      </c>
      <c r="E24" s="6" t="s">
        <v>12</v>
      </c>
      <c r="F24" s="6">
        <v>5</v>
      </c>
      <c r="G24" s="6">
        <v>18</v>
      </c>
      <c r="H24" s="6"/>
      <c r="I24" s="6">
        <v>12</v>
      </c>
      <c r="J24" s="6">
        <v>0</v>
      </c>
      <c r="K24" s="6">
        <v>5</v>
      </c>
    </row>
    <row r="25" spans="1:11" x14ac:dyDescent="0.2">
      <c r="A25" s="6">
        <v>1975</v>
      </c>
      <c r="B25" s="5">
        <v>39335</v>
      </c>
      <c r="D25" s="8" t="s">
        <v>30</v>
      </c>
      <c r="E25" s="6" t="s">
        <v>12</v>
      </c>
      <c r="F25" s="6">
        <v>5</v>
      </c>
      <c r="G25" s="6">
        <v>37</v>
      </c>
      <c r="H25" s="6"/>
      <c r="I25" s="6">
        <v>27</v>
      </c>
      <c r="J25" s="6">
        <v>0</v>
      </c>
      <c r="K25" s="6">
        <v>9</v>
      </c>
    </row>
    <row r="26" spans="1:11" x14ac:dyDescent="0.2">
      <c r="A26" s="6">
        <v>1976</v>
      </c>
      <c r="B26" s="5">
        <v>39353</v>
      </c>
      <c r="D26" s="8" t="s">
        <v>30</v>
      </c>
      <c r="E26" s="6" t="s">
        <v>12</v>
      </c>
      <c r="F26" s="6">
        <v>5</v>
      </c>
      <c r="G26" s="6">
        <v>13</v>
      </c>
      <c r="H26" s="6"/>
      <c r="I26" s="6">
        <v>0</v>
      </c>
      <c r="J26" s="6">
        <v>0</v>
      </c>
      <c r="K26" s="6">
        <v>11</v>
      </c>
    </row>
    <row r="27" spans="1:11" x14ac:dyDescent="0.2">
      <c r="A27" s="6">
        <v>1977</v>
      </c>
      <c r="B27" s="5">
        <v>39340</v>
      </c>
      <c r="D27" s="8" t="s">
        <v>30</v>
      </c>
      <c r="E27" s="6" t="s">
        <v>12</v>
      </c>
      <c r="F27" s="6">
        <v>5</v>
      </c>
      <c r="G27" s="6">
        <v>19</v>
      </c>
      <c r="H27" s="6"/>
      <c r="I27" s="6">
        <v>3</v>
      </c>
      <c r="J27" s="6">
        <v>0</v>
      </c>
      <c r="K27" s="6">
        <v>4</v>
      </c>
    </row>
    <row r="28" spans="1:11" x14ac:dyDescent="0.2">
      <c r="A28" s="6">
        <v>1978</v>
      </c>
      <c r="B28" s="6" t="s">
        <v>102</v>
      </c>
      <c r="D28" s="8"/>
      <c r="E28" s="6"/>
      <c r="F28" s="6"/>
      <c r="G28" s="6"/>
      <c r="H28" s="6"/>
      <c r="I28" s="6"/>
      <c r="J28" s="6"/>
      <c r="K28" s="6"/>
    </row>
    <row r="29" spans="1:11" x14ac:dyDescent="0.2">
      <c r="A29" s="6">
        <v>1979</v>
      </c>
      <c r="B29" s="6" t="s">
        <v>102</v>
      </c>
      <c r="D29" s="8"/>
      <c r="E29" s="6"/>
      <c r="F29" s="6"/>
      <c r="G29" s="6"/>
      <c r="H29" s="6"/>
      <c r="I29" s="6"/>
      <c r="J29" s="6"/>
      <c r="K29" s="6"/>
    </row>
    <row r="30" spans="1:11" x14ac:dyDescent="0.2">
      <c r="A30" s="6">
        <v>1980</v>
      </c>
      <c r="B30" s="5">
        <v>39333</v>
      </c>
      <c r="D30" s="8" t="s">
        <v>29</v>
      </c>
      <c r="E30" s="6" t="s">
        <v>11</v>
      </c>
      <c r="F30" s="6">
        <v>5</v>
      </c>
      <c r="G30" s="6">
        <v>8</v>
      </c>
      <c r="H30" s="6"/>
      <c r="I30" s="6">
        <v>6</v>
      </c>
      <c r="J30" s="6">
        <v>0</v>
      </c>
      <c r="K30" s="6">
        <v>3</v>
      </c>
    </row>
    <row r="31" spans="1:11" x14ac:dyDescent="0.2">
      <c r="A31" s="6">
        <v>1980</v>
      </c>
      <c r="B31" s="5">
        <v>39333</v>
      </c>
      <c r="D31" s="8" t="s">
        <v>30</v>
      </c>
      <c r="E31" s="6" t="s">
        <v>12</v>
      </c>
      <c r="F31" s="6">
        <v>5</v>
      </c>
      <c r="G31" s="6">
        <v>38</v>
      </c>
      <c r="H31" s="6"/>
      <c r="I31" s="6">
        <v>47</v>
      </c>
      <c r="J31" s="6">
        <v>0</v>
      </c>
      <c r="K31" s="6">
        <v>3</v>
      </c>
    </row>
    <row r="32" spans="1:11" x14ac:dyDescent="0.2">
      <c r="A32" s="6">
        <v>1981</v>
      </c>
      <c r="B32" s="5">
        <v>39336</v>
      </c>
      <c r="D32" s="8" t="s">
        <v>29</v>
      </c>
      <c r="E32" s="6" t="s">
        <v>11</v>
      </c>
      <c r="F32" s="6">
        <v>2</v>
      </c>
      <c r="G32" s="6">
        <v>8</v>
      </c>
      <c r="H32" s="6"/>
      <c r="I32" s="6">
        <v>9</v>
      </c>
      <c r="J32" s="6">
        <v>0</v>
      </c>
      <c r="K32" s="6">
        <v>4</v>
      </c>
    </row>
    <row r="33" spans="1:11" x14ac:dyDescent="0.2">
      <c r="A33" s="6">
        <v>1981</v>
      </c>
      <c r="B33" s="5">
        <v>39336</v>
      </c>
      <c r="D33" s="8" t="s">
        <v>30</v>
      </c>
      <c r="E33" s="6" t="s">
        <v>12</v>
      </c>
      <c r="F33" s="6">
        <v>5</v>
      </c>
      <c r="G33" s="6">
        <v>67</v>
      </c>
      <c r="H33" s="6"/>
      <c r="I33" s="6">
        <v>55</v>
      </c>
      <c r="J33" s="6">
        <v>0</v>
      </c>
      <c r="K33" s="6">
        <v>3</v>
      </c>
    </row>
    <row r="34" spans="1:11" x14ac:dyDescent="0.2">
      <c r="A34" s="6">
        <v>1982</v>
      </c>
      <c r="B34" s="5" t="s">
        <v>103</v>
      </c>
      <c r="D34" s="8" t="s">
        <v>29</v>
      </c>
      <c r="E34" s="6" t="s">
        <v>11</v>
      </c>
      <c r="F34" s="6">
        <v>2</v>
      </c>
      <c r="G34" s="6">
        <v>19</v>
      </c>
      <c r="H34" s="6"/>
      <c r="I34" s="6">
        <v>4</v>
      </c>
      <c r="J34" s="6">
        <v>0</v>
      </c>
      <c r="K34" s="6">
        <v>8</v>
      </c>
    </row>
    <row r="35" spans="1:11" x14ac:dyDescent="0.2">
      <c r="A35" s="6">
        <v>1982</v>
      </c>
      <c r="B35" s="5" t="s">
        <v>103</v>
      </c>
      <c r="D35" s="8" t="s">
        <v>30</v>
      </c>
      <c r="E35" s="6" t="s">
        <v>12</v>
      </c>
      <c r="F35" s="6">
        <v>5</v>
      </c>
      <c r="G35" s="6">
        <v>27</v>
      </c>
      <c r="H35" s="6"/>
      <c r="I35" s="6">
        <v>5</v>
      </c>
      <c r="J35" s="6">
        <v>0</v>
      </c>
      <c r="K35" s="6">
        <v>11</v>
      </c>
    </row>
    <row r="36" spans="1:11" x14ac:dyDescent="0.2">
      <c r="A36" s="6">
        <v>1983</v>
      </c>
      <c r="B36" s="5">
        <v>39338</v>
      </c>
      <c r="D36" s="8" t="s">
        <v>29</v>
      </c>
      <c r="E36" s="6" t="s">
        <v>11</v>
      </c>
      <c r="F36" s="6">
        <v>2</v>
      </c>
      <c r="G36" s="6">
        <v>12</v>
      </c>
      <c r="H36" s="6"/>
      <c r="I36" s="6">
        <v>6</v>
      </c>
      <c r="J36" s="6">
        <v>0</v>
      </c>
      <c r="K36" s="6">
        <v>11</v>
      </c>
    </row>
    <row r="37" spans="1:11" x14ac:dyDescent="0.2">
      <c r="A37" s="6">
        <v>1983</v>
      </c>
      <c r="B37" s="5">
        <v>39338</v>
      </c>
      <c r="D37" s="8" t="s">
        <v>30</v>
      </c>
      <c r="E37" s="6" t="s">
        <v>12</v>
      </c>
      <c r="F37" s="6">
        <v>5</v>
      </c>
      <c r="G37" s="6">
        <v>40</v>
      </c>
      <c r="H37" s="6"/>
      <c r="I37" s="6">
        <v>24</v>
      </c>
      <c r="J37" s="6">
        <v>0</v>
      </c>
      <c r="K37" s="6">
        <v>9</v>
      </c>
    </row>
    <row r="38" spans="1:11" x14ac:dyDescent="0.2">
      <c r="A38" s="6">
        <v>1984</v>
      </c>
      <c r="B38" s="5">
        <v>39336</v>
      </c>
      <c r="D38" s="8" t="s">
        <v>29</v>
      </c>
      <c r="E38" s="6" t="s">
        <v>11</v>
      </c>
      <c r="F38" s="6">
        <v>2</v>
      </c>
      <c r="G38" s="6">
        <v>21</v>
      </c>
      <c r="H38" s="6"/>
      <c r="I38" s="6">
        <v>14</v>
      </c>
      <c r="J38" s="6">
        <v>0</v>
      </c>
      <c r="K38" s="6">
        <v>29</v>
      </c>
    </row>
    <row r="39" spans="1:11" x14ac:dyDescent="0.2">
      <c r="A39" s="6">
        <v>1984</v>
      </c>
      <c r="B39" s="5">
        <v>39336</v>
      </c>
      <c r="D39" s="8" t="s">
        <v>30</v>
      </c>
      <c r="E39" s="6" t="s">
        <v>12</v>
      </c>
      <c r="F39" s="6">
        <v>5</v>
      </c>
      <c r="G39" s="6">
        <v>31</v>
      </c>
      <c r="H39" s="6"/>
      <c r="I39" s="6">
        <v>23</v>
      </c>
      <c r="J39" s="6">
        <v>0</v>
      </c>
      <c r="K39" s="6">
        <v>18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5</vt:i4>
      </vt:variant>
    </vt:vector>
  </HeadingPairs>
  <TitlesOfParts>
    <vt:vector size="47" baseType="lpstr">
      <vt:lpstr>GPS Coord.</vt:lpstr>
      <vt:lpstr>Redd Summary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1989</vt:lpstr>
      <vt:lpstr>1988</vt:lpstr>
      <vt:lpstr>1987</vt:lpstr>
      <vt:lpstr>1986</vt:lpstr>
      <vt:lpstr>1985</vt:lpstr>
      <vt:lpstr>54-84</vt:lpstr>
      <vt:lpstr>'2006'!Print_Area</vt:lpstr>
      <vt:lpstr>'2013'!Print_Area</vt:lpstr>
      <vt:lpstr>'2015'!Print_Area</vt:lpstr>
      <vt:lpstr>'GPS Coord.'!Print_Area</vt:lpstr>
      <vt:lpstr>'Redd Summary'!Print_Area</vt:lpstr>
    </vt:vector>
  </TitlesOfParts>
  <Company>DIS Leased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Gallinat, Michael P (DFW)</cp:lastModifiedBy>
  <cp:lastPrinted>2023-07-26T16:27:26Z</cp:lastPrinted>
  <dcterms:created xsi:type="dcterms:W3CDTF">2007-06-20T14:55:11Z</dcterms:created>
  <dcterms:modified xsi:type="dcterms:W3CDTF">2023-07-26T21:58:53Z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2021-08-25T15:12:15Z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119be030-9321-4766-9322-3c5ab65ed07e</vt:lpwstr>
  </property>
  <property fmtid="{D5CDD505-2E9C-101B-9397-08002B2CF9AE}" pid="8" name="MSIP_Label_45011977-b912-4387-97a4-f4c94a801377_ContentBits">
    <vt:lpwstr>0</vt:lpwstr>
  </property>
</Properties>
</file>