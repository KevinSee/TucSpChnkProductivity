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stateofwa-my.sharepoint.com/personal/michael_gallinat_dfw_wa_gov/Documents/Desktop/Stock Recruit Updated Data/Final Productivity Paper Data/"/>
    </mc:Choice>
  </mc:AlternateContent>
  <xr:revisionPtr revIDLastSave="279" documentId="13_ncr:1_{CD1D38AF-8F40-433E-B4E8-AF8D228365DB}" xr6:coauthVersionLast="47" xr6:coauthVersionMax="47" xr10:uidLastSave="{7917DF11-A273-4905-85F6-A625DA912B3A}"/>
  <bookViews>
    <workbookView xWindow="-120" yWindow="-120" windowWidth="29040" windowHeight="15840" activeTab="1" xr2:uid="{0802270F-6555-49F3-8215-7E17C8F07B75}"/>
  </bookViews>
  <sheets>
    <sheet name="Brief Background" sheetId="4" r:id="rId1"/>
    <sheet name="Tuc R. Sp Ch ArcSine SqRT" sheetId="5" r:id="rId2"/>
    <sheet name="Smolt Estimates" sheetId="2" r:id="rId3"/>
  </sheets>
  <definedNames>
    <definedName name="_xlnm.Print_Area" localSheetId="2">'Smolt Estimates'!$A$1:$O$41</definedName>
    <definedName name="_xlnm.Print_Area" localSheetId="1">'Tuc R. Sp Ch ArcSine SqRT'!$A$1:$AM$43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3" i="5" l="1"/>
  <c r="K42" i="5"/>
  <c r="AH39" i="5"/>
  <c r="AH38" i="5"/>
  <c r="AE39" i="5"/>
  <c r="AE38" i="5"/>
  <c r="AB40" i="5"/>
  <c r="AB39" i="5"/>
  <c r="Y40" i="5"/>
  <c r="Y39" i="5"/>
  <c r="V40" i="5"/>
  <c r="V39" i="5"/>
  <c r="S40" i="5"/>
  <c r="S39" i="5"/>
  <c r="P40" i="5"/>
  <c r="P39" i="5"/>
  <c r="M40" i="5"/>
  <c r="M39" i="5"/>
  <c r="J40" i="5"/>
  <c r="J39" i="5"/>
  <c r="G40" i="5"/>
  <c r="G39" i="5"/>
  <c r="AH37"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H8" i="5"/>
  <c r="AH7" i="5"/>
  <c r="AH6" i="5"/>
  <c r="AE37" i="5"/>
  <c r="AE36" i="5"/>
  <c r="AE35" i="5"/>
  <c r="AE34" i="5"/>
  <c r="AE33" i="5"/>
  <c r="AE32" i="5"/>
  <c r="AE31" i="5"/>
  <c r="AE30" i="5"/>
  <c r="AE29" i="5"/>
  <c r="AE28" i="5"/>
  <c r="AE27" i="5"/>
  <c r="AE26" i="5"/>
  <c r="AE25" i="5"/>
  <c r="AE24" i="5"/>
  <c r="AE23" i="5"/>
  <c r="AE22" i="5"/>
  <c r="AE21" i="5"/>
  <c r="AE20" i="5"/>
  <c r="AE19" i="5"/>
  <c r="AE18" i="5"/>
  <c r="AE17" i="5"/>
  <c r="AE16" i="5"/>
  <c r="AE15" i="5"/>
  <c r="AE14" i="5"/>
  <c r="AE13" i="5"/>
  <c r="AE12" i="5"/>
  <c r="AE11" i="5"/>
  <c r="AE10" i="5"/>
  <c r="AE9" i="5"/>
  <c r="AE8" i="5"/>
  <c r="AE7" i="5"/>
  <c r="AE6" i="5"/>
  <c r="AB38" i="5"/>
  <c r="AB37" i="5"/>
  <c r="AB36"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AB8" i="5"/>
  <c r="AB7" i="5"/>
  <c r="AB6" i="5"/>
  <c r="Y38" i="5"/>
  <c r="Y37" i="5"/>
  <c r="Y36" i="5"/>
  <c r="Y35" i="5"/>
  <c r="Y34" i="5"/>
  <c r="Y33" i="5"/>
  <c r="Y32" i="5"/>
  <c r="Y31" i="5"/>
  <c r="Y30" i="5"/>
  <c r="Y29" i="5"/>
  <c r="Y28" i="5"/>
  <c r="Y27" i="5"/>
  <c r="Y26" i="5"/>
  <c r="Y25" i="5"/>
  <c r="Y24" i="5"/>
  <c r="Y23" i="5"/>
  <c r="Y22" i="5"/>
  <c r="Y21" i="5"/>
  <c r="Y20" i="5"/>
  <c r="Y19" i="5"/>
  <c r="Y18" i="5"/>
  <c r="Y17" i="5"/>
  <c r="Y16" i="5"/>
  <c r="Y15" i="5"/>
  <c r="Y14" i="5"/>
  <c r="Y13" i="5"/>
  <c r="Y12" i="5"/>
  <c r="Y11" i="5"/>
  <c r="Y10" i="5"/>
  <c r="Y9" i="5"/>
  <c r="Y8" i="5"/>
  <c r="Y7" i="5"/>
  <c r="Y6" i="5"/>
  <c r="V38" i="5"/>
  <c r="V37" i="5"/>
  <c r="V36" i="5"/>
  <c r="V35" i="5"/>
  <c r="V34" i="5"/>
  <c r="V33" i="5"/>
  <c r="V32" i="5"/>
  <c r="V31" i="5"/>
  <c r="V30" i="5"/>
  <c r="V29" i="5"/>
  <c r="V28" i="5"/>
  <c r="V27" i="5"/>
  <c r="V26" i="5"/>
  <c r="V25" i="5"/>
  <c r="V24" i="5"/>
  <c r="V23" i="5"/>
  <c r="V22" i="5"/>
  <c r="V21" i="5"/>
  <c r="V20" i="5"/>
  <c r="V19" i="5"/>
  <c r="V18" i="5"/>
  <c r="V17" i="5"/>
  <c r="V16" i="5"/>
  <c r="V15" i="5"/>
  <c r="V14" i="5"/>
  <c r="V13" i="5"/>
  <c r="V12" i="5"/>
  <c r="V11" i="5"/>
  <c r="V10" i="5"/>
  <c r="V9" i="5"/>
  <c r="V8" i="5"/>
  <c r="V7" i="5"/>
  <c r="V6" i="5"/>
  <c r="S38" i="5"/>
  <c r="S37" i="5"/>
  <c r="S36" i="5"/>
  <c r="S35" i="5"/>
  <c r="S34" i="5"/>
  <c r="S33" i="5"/>
  <c r="S32" i="5"/>
  <c r="S31" i="5"/>
  <c r="S30" i="5"/>
  <c r="S29" i="5"/>
  <c r="S28" i="5"/>
  <c r="S27" i="5"/>
  <c r="S26" i="5"/>
  <c r="S25" i="5"/>
  <c r="S24" i="5"/>
  <c r="S23" i="5"/>
  <c r="S22" i="5"/>
  <c r="S21" i="5"/>
  <c r="S20" i="5"/>
  <c r="S19" i="5"/>
  <c r="S18" i="5"/>
  <c r="S17" i="5"/>
  <c r="S16" i="5"/>
  <c r="S15" i="5"/>
  <c r="S14" i="5"/>
  <c r="S13" i="5"/>
  <c r="S12" i="5"/>
  <c r="S11" i="5"/>
  <c r="S10" i="5"/>
  <c r="S9" i="5"/>
  <c r="S8" i="5"/>
  <c r="S7" i="5"/>
  <c r="S6" i="5"/>
  <c r="P38" i="5"/>
  <c r="P37" i="5"/>
  <c r="P36" i="5"/>
  <c r="P35" i="5"/>
  <c r="P34" i="5"/>
  <c r="P33" i="5"/>
  <c r="P32" i="5"/>
  <c r="P31" i="5"/>
  <c r="P30" i="5"/>
  <c r="P29" i="5"/>
  <c r="P28" i="5"/>
  <c r="P27" i="5"/>
  <c r="P26" i="5"/>
  <c r="P25" i="5"/>
  <c r="P24" i="5"/>
  <c r="P23" i="5"/>
  <c r="P22" i="5"/>
  <c r="P21" i="5"/>
  <c r="P20" i="5"/>
  <c r="P19" i="5"/>
  <c r="P18" i="5"/>
  <c r="P17" i="5"/>
  <c r="P16" i="5"/>
  <c r="P15" i="5"/>
  <c r="P14" i="5"/>
  <c r="P13" i="5"/>
  <c r="P12" i="5"/>
  <c r="P11" i="5"/>
  <c r="M38" i="5"/>
  <c r="M37" i="5"/>
  <c r="M36" i="5"/>
  <c r="M35" i="5"/>
  <c r="M34" i="5"/>
  <c r="M33" i="5"/>
  <c r="M32" i="5"/>
  <c r="M31" i="5"/>
  <c r="M30" i="5"/>
  <c r="M29" i="5"/>
  <c r="M28" i="5"/>
  <c r="M27" i="5"/>
  <c r="M26" i="5"/>
  <c r="M25" i="5"/>
  <c r="M24" i="5"/>
  <c r="M23" i="5"/>
  <c r="M22" i="5"/>
  <c r="M21" i="5"/>
  <c r="M20" i="5"/>
  <c r="M19" i="5"/>
  <c r="M18" i="5"/>
  <c r="M17" i="5"/>
  <c r="M16" i="5"/>
  <c r="M15" i="5"/>
  <c r="M14" i="5"/>
  <c r="M13" i="5"/>
  <c r="M12" i="5"/>
  <c r="M11" i="5"/>
  <c r="M10" i="5"/>
  <c r="M9" i="5"/>
  <c r="M8" i="5"/>
  <c r="M7" i="5"/>
  <c r="M6" i="5"/>
  <c r="J38" i="5"/>
  <c r="G38" i="5"/>
  <c r="J37" i="5"/>
  <c r="G37" i="5"/>
  <c r="J36" i="5"/>
  <c r="G36" i="5"/>
  <c r="J35" i="5"/>
  <c r="G35" i="5"/>
  <c r="J34" i="5"/>
  <c r="G34" i="5"/>
  <c r="J33" i="5"/>
  <c r="G33" i="5"/>
  <c r="J32" i="5"/>
  <c r="G32" i="5"/>
  <c r="J31" i="5"/>
  <c r="G31" i="5"/>
  <c r="J30" i="5"/>
  <c r="G30" i="5"/>
  <c r="J29" i="5"/>
  <c r="G29" i="5"/>
  <c r="J28" i="5"/>
  <c r="G28" i="5"/>
  <c r="J27" i="5"/>
  <c r="G27" i="5"/>
  <c r="J26" i="5"/>
  <c r="G26" i="5"/>
  <c r="J25" i="5"/>
  <c r="G25" i="5"/>
  <c r="J24" i="5"/>
  <c r="G24" i="5"/>
  <c r="J23" i="5"/>
  <c r="G23" i="5"/>
  <c r="J22" i="5"/>
  <c r="G22" i="5"/>
  <c r="J21" i="5"/>
  <c r="G21" i="5"/>
  <c r="J20" i="5"/>
  <c r="G20" i="5"/>
  <c r="J19" i="5"/>
  <c r="G19" i="5"/>
  <c r="J18" i="5"/>
  <c r="G18" i="5"/>
  <c r="J17" i="5"/>
  <c r="G17" i="5"/>
  <c r="J16" i="5"/>
  <c r="G16" i="5"/>
  <c r="J15" i="5"/>
  <c r="G15" i="5"/>
  <c r="J14" i="5"/>
  <c r="G14" i="5"/>
  <c r="J13" i="5"/>
  <c r="G13" i="5"/>
  <c r="J12" i="5"/>
  <c r="G12" i="5"/>
  <c r="J11" i="5"/>
  <c r="G11" i="5"/>
  <c r="J10" i="5"/>
  <c r="G10" i="5"/>
  <c r="J9" i="5"/>
  <c r="G9" i="5"/>
  <c r="J8" i="5"/>
  <c r="G8" i="5"/>
  <c r="J7" i="5"/>
  <c r="G7" i="5"/>
  <c r="J6" i="5"/>
  <c r="G6"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Gallinat, Michael P (DFW)</author>
  </authors>
  <commentList>
    <comment ref="P4" authorId="0" shapeId="0" xr:uid="{02658E25-0D40-4D78-BAD0-07599AE74FBF}">
      <text>
        <r>
          <rPr>
            <b/>
            <sz val="9"/>
            <color indexed="81"/>
            <rFont val="Tahoma"/>
            <family val="2"/>
          </rPr>
          <t>Gallinat, Michael P (DFW):</t>
        </r>
        <r>
          <rPr>
            <sz val="9"/>
            <color indexed="81"/>
            <rFont val="Tahoma"/>
            <family val="2"/>
          </rPr>
          <t xml:space="preserve">
Data on stray proportion was not available for the 1985-1989 BYs so I used three different estimates for that time period:  0 strays; a five yr. avg. of 4.83 (1990-1996); and a ten year avg. of 7.83 (1990-2001).
None of them looked to be significant based on cursory analysis.
</t>
        </r>
      </text>
    </comment>
    <comment ref="B5" authorId="0" shapeId="0" xr:uid="{FBBE0616-83EB-4D7A-843E-8463D83F9E2C}">
      <text>
        <r>
          <rPr>
            <b/>
            <sz val="9"/>
            <color indexed="81"/>
            <rFont val="Tahoma"/>
            <charset val="1"/>
          </rPr>
          <t xml:space="preserve">Gallinat, Michael P (DFW):
</t>
        </r>
        <r>
          <rPr>
            <sz val="9"/>
            <color indexed="81"/>
            <rFont val="Tahoma"/>
            <family val="2"/>
          </rPr>
          <t xml:space="preserve">Excludes the 1991,1995, and 2019 brood years.  
</t>
        </r>
      </text>
    </comment>
    <comment ref="D5" authorId="0" shapeId="0" xr:uid="{E2ACA7DC-D302-4866-BDF9-6FC09438B577}">
      <text>
        <r>
          <rPr>
            <b/>
            <sz val="9"/>
            <color indexed="81"/>
            <rFont val="Tahoma"/>
            <charset val="1"/>
          </rPr>
          <t>Gallinat, Michael P (DFW):</t>
        </r>
        <r>
          <rPr>
            <sz val="9"/>
            <color indexed="81"/>
            <rFont val="Tahoma"/>
            <charset val="1"/>
          </rPr>
          <t xml:space="preserve">
See Smolt Estimates </t>
        </r>
      </text>
    </comment>
    <comment ref="F5" authorId="0" shapeId="0" xr:uid="{0E50FBF4-682D-428C-BAFC-617C89235905}">
      <text>
        <r>
          <rPr>
            <b/>
            <sz val="9"/>
            <color indexed="81"/>
            <rFont val="Tahoma"/>
            <family val="2"/>
          </rPr>
          <t>Gallinat, Michael P (DFW):</t>
        </r>
        <r>
          <rPr>
            <sz val="9"/>
            <color indexed="81"/>
            <rFont val="Tahoma"/>
            <family val="2"/>
          </rPr>
          <t xml:space="preserve">
Also can use as number of females that spawned (Assumes each female makes one redd.)</t>
        </r>
      </text>
    </comment>
    <comment ref="I5" authorId="0" shapeId="0" xr:uid="{057435B0-8248-4AD8-9523-01AD901AD597}">
      <text>
        <r>
          <rPr>
            <b/>
            <sz val="9"/>
            <color indexed="81"/>
            <rFont val="Tahoma"/>
            <family val="2"/>
          </rPr>
          <t>Gallinat, Michael P (DFW):</t>
        </r>
        <r>
          <rPr>
            <sz val="9"/>
            <color indexed="81"/>
            <rFont val="Tahoma"/>
            <family val="2"/>
          </rPr>
          <t xml:space="preserve">
This is questionable data (early years).  Escapement data (column H) is good!</t>
        </r>
      </text>
    </comment>
    <comment ref="N5" authorId="0" shapeId="0" xr:uid="{DB5BE2C5-0B62-4A7C-BA43-A323D7D28008}">
      <text>
        <r>
          <rPr>
            <b/>
            <sz val="9"/>
            <color indexed="81"/>
            <rFont val="Tahoma"/>
            <family val="2"/>
          </rPr>
          <t>Gallinat, Michael P (DFW):</t>
        </r>
        <r>
          <rPr>
            <sz val="9"/>
            <color indexed="81"/>
            <rFont val="Tahoma"/>
            <family val="2"/>
          </rPr>
          <t xml:space="preserve">
No strays were recovered during the early years and stray proportion was likely 0 or near 0 as hatchery programs were just starting/ramping up.</t>
        </r>
      </text>
    </comment>
    <comment ref="O5" authorId="0" shapeId="0" xr:uid="{B51CBE6D-8BC9-48D5-94C7-989A78355BD0}">
      <text>
        <r>
          <rPr>
            <b/>
            <sz val="9"/>
            <color indexed="81"/>
            <rFont val="Tahoma"/>
            <family val="2"/>
          </rPr>
          <t>Gallinat, Michael P (DFW):</t>
        </r>
        <r>
          <rPr>
            <sz val="9"/>
            <color indexed="81"/>
            <rFont val="Tahoma"/>
            <family val="2"/>
          </rPr>
          <t xml:space="preserve">
No strays were recovered during the early years and stray proportion was likely 0 or near 0 as hatchery programs were just starting/ramping up.</t>
        </r>
      </text>
    </comment>
    <comment ref="AM5" authorId="0" shapeId="0" xr:uid="{E415BB10-C1FC-4980-872A-39F818211ADB}">
      <text>
        <r>
          <rPr>
            <b/>
            <sz val="9"/>
            <color indexed="81"/>
            <rFont val="Tahoma"/>
            <charset val="1"/>
          </rPr>
          <t xml:space="preserve">Gallinat, Michael P (DFW):
</t>
        </r>
        <r>
          <rPr>
            <sz val="9"/>
            <color indexed="81"/>
            <rFont val="Tahoma"/>
            <family val="2"/>
          </rPr>
          <t xml:space="preserve">Excludes the 1991, 1995, and 2019 brood years.  (See notes - next page.)
</t>
        </r>
      </text>
    </comment>
    <comment ref="AC38" authorId="0" shapeId="0" xr:uid="{04579E4E-833F-4909-81DD-51894B48945B}">
      <text>
        <r>
          <rPr>
            <b/>
            <sz val="9"/>
            <color indexed="81"/>
            <rFont val="Tahoma"/>
            <charset val="1"/>
          </rPr>
          <t>Gallinat, Michael P (DFW):</t>
        </r>
        <r>
          <rPr>
            <sz val="9"/>
            <color indexed="81"/>
            <rFont val="Tahoma"/>
            <charset val="1"/>
          </rPr>
          <t xml:space="preserve">
Just missing Age 5 -Incomplete BY.</t>
        </r>
      </text>
    </comment>
    <comment ref="AF38" authorId="0" shapeId="0" xr:uid="{45530657-D89B-4195-82AE-B2B155A24297}">
      <text>
        <r>
          <rPr>
            <b/>
            <sz val="9"/>
            <color indexed="81"/>
            <rFont val="Tahoma"/>
            <charset val="1"/>
          </rPr>
          <t>Gallinat, Michael P (DFW):</t>
        </r>
        <r>
          <rPr>
            <sz val="9"/>
            <color indexed="81"/>
            <rFont val="Tahoma"/>
            <charset val="1"/>
          </rPr>
          <t xml:space="preserve">
Just missing Age 5 -Incomplete BY</t>
        </r>
      </text>
    </comment>
    <comment ref="AI38" authorId="0" shapeId="0" xr:uid="{8B1CC2B9-2EF6-4054-9FCB-DA21331F6D54}">
      <text>
        <r>
          <rPr>
            <b/>
            <sz val="9"/>
            <color indexed="81"/>
            <rFont val="Tahoma"/>
            <charset val="1"/>
          </rPr>
          <t>Gallinat, Michael P (DFW):</t>
        </r>
        <r>
          <rPr>
            <sz val="9"/>
            <color indexed="81"/>
            <rFont val="Tahoma"/>
            <charset val="1"/>
          </rPr>
          <t xml:space="preserve">
Just missing Age 5 - Incomplete BY</t>
        </r>
      </text>
    </comment>
    <comment ref="AK38" authorId="0" shapeId="0" xr:uid="{2F5AAEDA-7661-4051-AA99-9315D6545480}">
      <text>
        <r>
          <rPr>
            <b/>
            <sz val="9"/>
            <color indexed="81"/>
            <rFont val="Tahoma"/>
            <charset val="1"/>
          </rPr>
          <t>Gallinat, Michael P (DFW):</t>
        </r>
        <r>
          <rPr>
            <sz val="9"/>
            <color indexed="81"/>
            <rFont val="Tahoma"/>
            <charset val="1"/>
          </rPr>
          <t xml:space="preserve">
Just missing Age 5 -Incomplete BY</t>
        </r>
      </text>
    </comment>
    <comment ref="AC39" authorId="0" shapeId="0" xr:uid="{DDE4BFB4-8895-44C1-9F77-47ED8E201A91}">
      <text>
        <r>
          <rPr>
            <b/>
            <sz val="9"/>
            <color indexed="81"/>
            <rFont val="Tahoma"/>
            <charset val="1"/>
          </rPr>
          <t>Gallinat, Michael P (DFW):</t>
        </r>
        <r>
          <rPr>
            <sz val="9"/>
            <color indexed="81"/>
            <rFont val="Tahoma"/>
            <charset val="1"/>
          </rPr>
          <t xml:space="preserve">
Incomplete BY.</t>
        </r>
      </text>
    </comment>
    <comment ref="AF39" authorId="0" shapeId="0" xr:uid="{61BF56A7-7376-4A56-B0EE-9CD3C95C8878}">
      <text>
        <r>
          <rPr>
            <b/>
            <sz val="9"/>
            <color indexed="81"/>
            <rFont val="Tahoma"/>
            <charset val="1"/>
          </rPr>
          <t>Gallinat, Michael P (DFW):</t>
        </r>
        <r>
          <rPr>
            <sz val="9"/>
            <color indexed="81"/>
            <rFont val="Tahoma"/>
            <charset val="1"/>
          </rPr>
          <t xml:space="preserve">
Incomplete BY</t>
        </r>
      </text>
    </comment>
    <comment ref="AI39" authorId="0" shapeId="0" xr:uid="{EA3AA80C-90B2-4994-8C1B-4FA70F3969A4}">
      <text>
        <r>
          <rPr>
            <b/>
            <sz val="9"/>
            <color indexed="81"/>
            <rFont val="Tahoma"/>
            <charset val="1"/>
          </rPr>
          <t>Gallinat, Michael P (DFW):</t>
        </r>
        <r>
          <rPr>
            <sz val="9"/>
            <color indexed="81"/>
            <rFont val="Tahoma"/>
            <charset val="1"/>
          </rPr>
          <t xml:space="preserve">
Incomplete BY</t>
        </r>
      </text>
    </comment>
  </commentList>
</comments>
</file>

<file path=xl/sharedStrings.xml><?xml version="1.0" encoding="utf-8"?>
<sst xmlns="http://schemas.openxmlformats.org/spreadsheetml/2006/main" count="224" uniqueCount="130">
  <si>
    <t>Brood Yr.</t>
  </si>
  <si>
    <t>Smolts/Redd</t>
  </si>
  <si>
    <t>Escapement</t>
  </si>
  <si>
    <t>pHOS</t>
  </si>
  <si>
    <t>Stray</t>
  </si>
  <si>
    <t>Proportion</t>
  </si>
  <si>
    <t>Proportion of redds</t>
  </si>
  <si>
    <t>in Wilderness &amp; HMA</t>
  </si>
  <si>
    <t>in Marengo and below</t>
  </si>
  <si>
    <t>above trap</t>
  </si>
  <si>
    <t>below trap</t>
  </si>
  <si>
    <t>00</t>
  </si>
  <si>
    <t>01</t>
  </si>
  <si>
    <t>02</t>
  </si>
  <si>
    <t>03</t>
  </si>
  <si>
    <t>04</t>
  </si>
  <si>
    <t>05</t>
  </si>
  <si>
    <t>06</t>
  </si>
  <si>
    <t>07</t>
  </si>
  <si>
    <t>08</t>
  </si>
  <si>
    <t>09</t>
  </si>
  <si>
    <t># Smolts</t>
  </si>
  <si>
    <t># Redds</t>
  </si>
  <si>
    <t>Arcsine sq. rt.</t>
  </si>
  <si>
    <t>Smolts/spawner</t>
  </si>
  <si>
    <t>SAR</t>
  </si>
  <si>
    <t>w/ Jacks</t>
  </si>
  <si>
    <t>w/o Jacks</t>
  </si>
  <si>
    <t>of Smolts</t>
  </si>
  <si>
    <t>Estimate</t>
  </si>
  <si>
    <t>95% LCI</t>
  </si>
  <si>
    <t>95% UCI</t>
  </si>
  <si>
    <t>S.E.</t>
  </si>
  <si>
    <t>86/87</t>
  </si>
  <si>
    <t>87/88</t>
  </si>
  <si>
    <t>88/89</t>
  </si>
  <si>
    <t>89/90</t>
  </si>
  <si>
    <t>90/91</t>
  </si>
  <si>
    <t>91/92</t>
  </si>
  <si>
    <t>92/93</t>
  </si>
  <si>
    <t>93/94</t>
  </si>
  <si>
    <t>94/95</t>
  </si>
  <si>
    <t>95/96</t>
  </si>
  <si>
    <t>96/97</t>
  </si>
  <si>
    <t>97/98</t>
  </si>
  <si>
    <t>98/99</t>
  </si>
  <si>
    <t>99/00</t>
  </si>
  <si>
    <t>00/01</t>
  </si>
  <si>
    <t>13/14</t>
  </si>
  <si>
    <t>14/15</t>
  </si>
  <si>
    <t>15/16</t>
  </si>
  <si>
    <t>16/17</t>
  </si>
  <si>
    <t>17/18</t>
  </si>
  <si>
    <t>18/19</t>
  </si>
  <si>
    <t>19/20</t>
  </si>
  <si>
    <t>01/02</t>
  </si>
  <si>
    <t>02/03</t>
  </si>
  <si>
    <t>03/04</t>
  </si>
  <si>
    <t>04/05</t>
  </si>
  <si>
    <t>05/06</t>
  </si>
  <si>
    <t>06/07</t>
  </si>
  <si>
    <t>07/08</t>
  </si>
  <si>
    <t>08/09</t>
  </si>
  <si>
    <t>09/10</t>
  </si>
  <si>
    <t>10/11</t>
  </si>
  <si>
    <t>11/12</t>
  </si>
  <si>
    <t>12/13</t>
  </si>
  <si>
    <t>Emigration</t>
  </si>
  <si>
    <t>Year</t>
  </si>
  <si>
    <t>at Trap (mm)</t>
  </si>
  <si>
    <t>Mean length</t>
  </si>
  <si>
    <t xml:space="preserve">Estimated </t>
  </si>
  <si>
    <t>Outmigration</t>
  </si>
  <si>
    <t>Period</t>
  </si>
  <si>
    <t>Brood</t>
  </si>
  <si>
    <t xml:space="preserve">Mean pHOS = </t>
  </si>
  <si>
    <t>S.D. pHOS =</t>
  </si>
  <si>
    <t>Total Returns</t>
  </si>
  <si>
    <t>per Spawner</t>
  </si>
  <si>
    <t>Adult Returns</t>
  </si>
  <si>
    <t>Ln Total R/S</t>
  </si>
  <si>
    <t>Ln Adult R/S</t>
  </si>
  <si>
    <t xml:space="preserve">20/21 </t>
  </si>
  <si>
    <t>Spawning</t>
  </si>
  <si>
    <t>No ESA Section 10 Permit - Had to pull the trap - so no estimate.</t>
  </si>
  <si>
    <t>The Tucannon River spring Chinook population is listed as "Threatened" (first listed as "Endangered" - then switched to "Threatened")</t>
  </si>
  <si>
    <t>However, the improved runs did not result in large population increases four years later (Chinook predominately return to spawn @ age 4) for these same Columbia/Snake River populations.</t>
  </si>
  <si>
    <t>(i.e., large run size did not beget even larger - or as large - retuns.)</t>
  </si>
  <si>
    <t>The Tucannon River spring Chinook population was no exception.</t>
  </si>
  <si>
    <t>In fact, some of these larger returns came from smaller retuns (e.g., the 98 return that produced the 01 return was small; 2006 return that produced the 2010 return was also small.)</t>
  </si>
  <si>
    <t>If you pick a low return year and count four years later you will generally have a larger return.</t>
  </si>
  <si>
    <t>Coincidence?</t>
  </si>
  <si>
    <t>Environmental factors play a large role (ocean conditions, floods, drought, etc.) in natural population productivity - but are we also seeing density-dependent effects even though we are well below historical levels of abundance?</t>
  </si>
  <si>
    <t>Improved ocean conditions helped increase returns for most Columbia/Snake River populations during 2001-2002 and around 2009-2010.</t>
  </si>
  <si>
    <t>Proportion of hatchery fish, straying, and even redd location have also been found to affect population productivity.  (Hatchery fish are smaller, less fecund, and behave differently than natural origin fish.)</t>
  </si>
  <si>
    <t>A hatchery supplementation program was started in 1985 to increase population size - but has generally been ineffective.  SARs are low compared to natural origin fish.  However, the hatchery fish are generally above replacement and natural origin fish are generally below replacement.</t>
  </si>
  <si>
    <t xml:space="preserve">The purpose of this analysis is to examine some of these varibles to see which ones have the largest influence on Tucannon River spring Chinook natural population productivity.  (Both within the river and after outmigration.)   </t>
  </si>
  <si>
    <t>I noticed that if you pick a large return year and count four years later you will have a smaller return.</t>
  </si>
  <si>
    <t>Looking at escapement graphs back to the Tucannon River:</t>
  </si>
  <si>
    <t>Comments</t>
  </si>
  <si>
    <t>(Had to use published historical estimate - No S.E. reported - 1987 Annual Report - Seidel et al. 1988 - pg. 39)</t>
  </si>
  <si>
    <t>Due to a 30 yr. flood and Covid-19 pandemic the trap was pulled for 23 days.  A "Fall" est. (1 Oct. to 24 Mar.; Est. = 3,809; 95% C.I. 2,690-5,532; S.E 762.8 = three periods) and "Spring" estimate (17 Apr. to 9 July; Est. 13,170; 95% C.I. 9,407-19,766; S.E. 2,532.9 = two periods) were totaled to provide a minimum estimate (16,979) for the brood year.</t>
  </si>
  <si>
    <t>Too few recaptures (bad ocean conditions) - so no estimate.</t>
  </si>
  <si>
    <t>Incline Plane</t>
  </si>
  <si>
    <t>Trap Type</t>
  </si>
  <si>
    <t>Screw Trap</t>
  </si>
  <si>
    <t>Incline Plane &amp; Screw</t>
  </si>
  <si>
    <t xml:space="preserve">Historically Tucannon River spring Chinook redds were found high in the upper basin (cold temps!).  However, with the hatchery program in place it caused a shift in the number of redds lower in the river.  </t>
  </si>
  <si>
    <t>Question 1:</t>
  </si>
  <si>
    <t>We saw a decline in smolts-per-redd in recent years and wondered if any of the following factors affected in-river productivity?</t>
  </si>
  <si>
    <t>- Hatchery origin fish (pHOS)</t>
  </si>
  <si>
    <t>- Hatchery strays</t>
  </si>
  <si>
    <t>- Redd distribution</t>
  </si>
  <si>
    <t>Question 2:</t>
  </si>
  <si>
    <t>Do any of the following factors have an effect on smolt-to-adult returns (both with and w/o jacks)?</t>
  </si>
  <si>
    <t>Question 3:</t>
  </si>
  <si>
    <t>Do any of the following factors have an effect on returns-per-spawner (both Total R/S and adult R/S?  (Indicator of population productivity)</t>
  </si>
  <si>
    <t>- Mean length of fish sampled at the smolt trap (fish density)</t>
  </si>
  <si>
    <t>What I did - Multiple regression analysis (backward selection) Dependent variable = smolts/redd  - kicked out everything but Escapement (P &lt; 0.01)</t>
  </si>
  <si>
    <t>What I did - Multiple regression analysis (backward selection) Dependent varibles = SAR w/ jacks and SAR w/o jacks - kicked out everything except for smolt length (P &lt; 0.001).</t>
  </si>
  <si>
    <t>What I did - Multiple regression analysis (backward selection) Dependent variables = Total and Adult Returns/Spawner - kicked out everything but smolt length (P &lt; 0.01).</t>
  </si>
  <si>
    <t>So based on my analysis - Large returns back to the Tucannon produce smaller smolts (density-dependent effects) and these smaller smolts have lower survival and produce smaller returns.</t>
  </si>
  <si>
    <t>Smaller returns back to the Tucannon produce larger smolts (density-dependent effects) and these larger smolts have higher survival and tend to produce larger returns.</t>
  </si>
  <si>
    <t>So basically it is a Catch-22 situation!!!!!!</t>
  </si>
  <si>
    <t>21/22</t>
  </si>
  <si>
    <t>Only 13 WCHS captured for the year and too few recaptures (bad ocean conditions) - so no estimate.</t>
  </si>
  <si>
    <t>(Note:  Arcsine transformations were calculated using formula.)</t>
  </si>
  <si>
    <t>22/23</t>
  </si>
  <si>
    <t>23/24</t>
  </si>
  <si>
    <t xml:space="preserve">Note:  This dataset exludes the following BY's:  1991, 1995, 2019 - Due to no estimates at the smolt trap (e.g., low fish #'s, etc.).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</si>
</sst>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00"/>
    <numFmt numFmtId="166" formatCode="0.0"/>
    <numFmt numFmtId="167" formatCode="#,##0.0"/>
  </numFmts>
  <fonts count="7" x14ac:knownFonts="1">
    <font>
      <sz val="11"/>
      <color theme="1"/>
      <name val="Calibri"/>
      <family val="2"/>
      <scheme val="minor"/>
    </font>
    <font>
      <sz val="9"/>
      <color indexed="81"/>
      <name val="Tahoma"/>
      <family val="2"/>
    </font>
    <font>
      <b/>
      <sz val="9"/>
      <color indexed="81"/>
      <name val="Tahoma"/>
      <family val="2"/>
    </font>
    <font>
      <b/>
      <sz val="11"/>
      <color theme="1"/>
      <name val="Calibri"/>
      <family val="2"/>
      <scheme val="minor"/>
    </font>
    <font>
      <sz val="9"/>
      <color indexed="81"/>
      <name val="Tahoma"/>
      <charset val="1"/>
    </font>
    <font>
      <b/>
      <sz val="9"/>
      <color indexed="81"/>
      <name val="Tahoma"/>
      <charset val="1"/>
    </font>
    <font>
      <sz val="12"/>
      <color theme="1"/>
      <name val="Arial"/>
      <family val="2"/>
    </font>
  </fonts>
  <fills count="5">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FF0000"/>
        <bgColor indexed="64"/>
      </patternFill>
    </fill>
  </fills>
  <borders count="6">
    <border>
      <left/>
      <right/>
      <top/>
      <bottom/>
      <diagonal/>
    </border>
    <border>
      <left/>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style="medium">
        <color auto="1"/>
      </right>
      <top/>
      <bottom style="medium">
        <color auto="1"/>
      </bottom>
      <diagonal/>
    </border>
  </borders>
  <cellStyleXfs count="1">
    <xf numFmtId="0" fontId="0" fillId="0" borderId="0"/>
  </cellStyleXfs>
  <cellXfs count="45">
    <xf numFmtId="0" fontId="0" fillId="0" borderId="0" xfId="0"/>
    <xf numFmtId="0" fontId="0" fillId="0" borderId="0" xfId="0" applyAlignment="1">
      <alignment horizontal="center"/>
    </xf>
    <xf numFmtId="0" fontId="0" fillId="0" borderId="1" xfId="0" applyBorder="1"/>
    <xf numFmtId="16" fontId="0" fillId="0" borderId="0" xfId="0" quotePrefix="1" applyNumberFormat="1" applyAlignment="1">
      <alignment horizontal="center"/>
    </xf>
    <xf numFmtId="0" fontId="0" fillId="3" borderId="0" xfId="0" applyFill="1" applyAlignment="1">
      <alignment horizontal="center"/>
    </xf>
    <xf numFmtId="3" fontId="0" fillId="0" borderId="0" xfId="0" applyNumberFormat="1" applyAlignment="1">
      <alignment horizontal="center"/>
    </xf>
    <xf numFmtId="0" fontId="3" fillId="0" borderId="0" xfId="0" applyFont="1"/>
    <xf numFmtId="0" fontId="0" fillId="3" borderId="0" xfId="0" applyFill="1"/>
    <xf numFmtId="2" fontId="0" fillId="0" borderId="1" xfId="0" applyNumberFormat="1" applyBorder="1" applyAlignment="1">
      <alignment horizontal="center"/>
    </xf>
    <xf numFmtId="2" fontId="0" fillId="0" borderId="1" xfId="0" applyNumberFormat="1" applyBorder="1" applyAlignment="1">
      <alignment horizontal="left"/>
    </xf>
    <xf numFmtId="0" fontId="0" fillId="0" borderId="0" xfId="0" quotePrefix="1"/>
    <xf numFmtId="0" fontId="6" fillId="0" borderId="0" xfId="0" applyFont="1" applyAlignment="1">
      <alignment horizontal="center"/>
    </xf>
    <xf numFmtId="2" fontId="6" fillId="0" borderId="0" xfId="0" applyNumberFormat="1" applyFont="1" applyAlignment="1">
      <alignment horizontal="center"/>
    </xf>
    <xf numFmtId="2" fontId="6" fillId="2" borderId="0" xfId="0" applyNumberFormat="1" applyFont="1" applyFill="1" applyAlignment="1">
      <alignment horizontal="center"/>
    </xf>
    <xf numFmtId="0" fontId="6" fillId="0" borderId="0" xfId="0" quotePrefix="1" applyFont="1" applyAlignment="1">
      <alignment horizontal="center"/>
    </xf>
    <xf numFmtId="0" fontId="6" fillId="2" borderId="0" xfId="0" quotePrefix="1" applyFont="1" applyFill="1" applyAlignment="1">
      <alignment horizontal="center"/>
    </xf>
    <xf numFmtId="0" fontId="6" fillId="2" borderId="0" xfId="0" applyFont="1" applyFill="1" applyAlignment="1">
      <alignment horizontal="center"/>
    </xf>
    <xf numFmtId="0" fontId="6" fillId="0" borderId="0" xfId="0" applyFont="1"/>
    <xf numFmtId="164" fontId="6" fillId="0" borderId="0" xfId="0" applyNumberFormat="1" applyFont="1" applyAlignment="1">
      <alignment horizontal="center"/>
    </xf>
    <xf numFmtId="165" fontId="6" fillId="0" borderId="0" xfId="0" applyNumberFormat="1" applyFont="1" applyAlignment="1">
      <alignment horizontal="center"/>
    </xf>
    <xf numFmtId="3" fontId="6" fillId="0" borderId="0" xfId="0" applyNumberFormat="1" applyFont="1" applyAlignment="1">
      <alignment horizontal="center"/>
    </xf>
    <xf numFmtId="2" fontId="6" fillId="0" borderId="0" xfId="0" applyNumberFormat="1" applyFont="1"/>
    <xf numFmtId="0" fontId="6" fillId="2" borderId="0" xfId="0" applyFont="1" applyFill="1"/>
    <xf numFmtId="0" fontId="6" fillId="0" borderId="1" xfId="0" applyFont="1" applyBorder="1" applyAlignment="1">
      <alignment horizontal="center"/>
    </xf>
    <xf numFmtId="0" fontId="6" fillId="2" borderId="1" xfId="0" applyFont="1" applyFill="1" applyBorder="1" applyAlignment="1">
      <alignment horizontal="center"/>
    </xf>
    <xf numFmtId="0" fontId="6" fillId="0" borderId="1" xfId="0" applyFont="1" applyBorder="1"/>
    <xf numFmtId="0" fontId="6" fillId="0" borderId="2" xfId="0" applyFont="1" applyBorder="1" applyAlignment="1">
      <alignment horizontal="right"/>
    </xf>
    <xf numFmtId="0" fontId="6" fillId="0" borderId="3" xfId="0" applyFont="1" applyBorder="1"/>
    <xf numFmtId="0" fontId="6" fillId="0" borderId="4" xfId="0" applyFont="1" applyBorder="1" applyAlignment="1">
      <alignment horizontal="right"/>
    </xf>
    <xf numFmtId="0" fontId="6" fillId="0" borderId="5" xfId="0" applyFont="1" applyBorder="1"/>
    <xf numFmtId="166" fontId="0" fillId="0" borderId="0" xfId="0" applyNumberFormat="1" applyAlignment="1">
      <alignment horizontal="center"/>
    </xf>
    <xf numFmtId="166" fontId="0" fillId="3" borderId="0" xfId="0" applyNumberFormat="1" applyFill="1" applyAlignment="1">
      <alignment horizontal="center"/>
    </xf>
    <xf numFmtId="166" fontId="0" fillId="3" borderId="0" xfId="0" applyNumberFormat="1" applyFill="1"/>
    <xf numFmtId="167" fontId="0" fillId="0" borderId="0" xfId="0" applyNumberFormat="1" applyAlignment="1">
      <alignment horizontal="center"/>
    </xf>
    <xf numFmtId="166" fontId="6" fillId="0" borderId="0" xfId="0" applyNumberFormat="1" applyFont="1" applyAlignment="1">
      <alignment horizontal="center"/>
    </xf>
    <xf numFmtId="0" fontId="0" fillId="0" borderId="0" xfId="0" applyFill="1"/>
    <xf numFmtId="0" fontId="6" fillId="0" borderId="0" xfId="0" applyFont="1" applyFill="1"/>
    <xf numFmtId="0" fontId="6" fillId="0" borderId="0" xfId="0" applyFont="1" applyFill="1" applyAlignment="1">
      <alignment horizontal="center"/>
    </xf>
    <xf numFmtId="0" fontId="6" fillId="0" borderId="1" xfId="0" applyFont="1" applyFill="1" applyBorder="1" applyAlignment="1">
      <alignment horizontal="center"/>
    </xf>
    <xf numFmtId="0" fontId="0" fillId="4" borderId="0" xfId="0" applyFill="1"/>
    <xf numFmtId="0" fontId="0" fillId="0" borderId="0" xfId="0" applyFill="1" applyAlignment="1">
      <alignment horizontal="center"/>
    </xf>
    <xf numFmtId="166" fontId="0" fillId="0" borderId="0" xfId="0" applyNumberFormat="1" applyFill="1" applyAlignment="1">
      <alignment horizontal="center"/>
    </xf>
    <xf numFmtId="2" fontId="6" fillId="0" borderId="0" xfId="0" applyNumberFormat="1" applyFont="1" applyFill="1" applyAlignment="1">
      <alignment horizontal="center"/>
    </xf>
    <xf numFmtId="165" fontId="6" fillId="0" borderId="0" xfId="0" applyNumberFormat="1" applyFont="1" applyFill="1" applyAlignment="1">
      <alignment horizontal="center"/>
    </xf>
    <xf numFmtId="164" fontId="6" fillId="0" borderId="0" xfId="0" applyNumberFormat="1"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D123C-8F7A-4146-A536-AF445934B3F1}">
  <dimension ref="B3:B56"/>
  <sheetViews>
    <sheetView workbookViewId="0">
      <selection activeCell="F24" sqref="F24"/>
    </sheetView>
  </sheetViews>
  <sheetFormatPr defaultRowHeight="15" x14ac:dyDescent="0.25"/>
  <sheetData>
    <row r="3" spans="2:2" x14ac:dyDescent="0.25">
      <c r="B3" t="s">
        <v>85</v>
      </c>
    </row>
    <row r="5" spans="2:2" x14ac:dyDescent="0.25">
      <c r="B5" t="s">
        <v>95</v>
      </c>
    </row>
    <row r="7" spans="2:2" x14ac:dyDescent="0.25">
      <c r="B7" t="s">
        <v>93</v>
      </c>
    </row>
    <row r="8" spans="2:2" x14ac:dyDescent="0.25">
      <c r="B8" t="s">
        <v>86</v>
      </c>
    </row>
    <row r="9" spans="2:2" x14ac:dyDescent="0.25">
      <c r="B9" t="s">
        <v>87</v>
      </c>
    </row>
    <row r="11" spans="2:2" x14ac:dyDescent="0.25">
      <c r="B11" t="s">
        <v>88</v>
      </c>
    </row>
    <row r="13" spans="2:2" x14ac:dyDescent="0.25">
      <c r="B13" t="s">
        <v>89</v>
      </c>
    </row>
    <row r="15" spans="2:2" x14ac:dyDescent="0.25">
      <c r="B15" t="s">
        <v>98</v>
      </c>
    </row>
    <row r="16" spans="2:2" x14ac:dyDescent="0.25">
      <c r="B16" t="s">
        <v>97</v>
      </c>
    </row>
    <row r="17" spans="2:2" x14ac:dyDescent="0.25">
      <c r="B17" t="s">
        <v>90</v>
      </c>
    </row>
    <row r="18" spans="2:2" x14ac:dyDescent="0.25">
      <c r="B18" t="s">
        <v>91</v>
      </c>
    </row>
    <row r="20" spans="2:2" x14ac:dyDescent="0.25">
      <c r="B20" t="s">
        <v>92</v>
      </c>
    </row>
    <row r="21" spans="2:2" x14ac:dyDescent="0.25">
      <c r="B21" t="s">
        <v>94</v>
      </c>
    </row>
    <row r="22" spans="2:2" x14ac:dyDescent="0.25">
      <c r="B22" t="s">
        <v>107</v>
      </c>
    </row>
    <row r="25" spans="2:2" x14ac:dyDescent="0.25">
      <c r="B25" t="s">
        <v>96</v>
      </c>
    </row>
    <row r="27" spans="2:2" x14ac:dyDescent="0.25">
      <c r="B27" s="6" t="s">
        <v>108</v>
      </c>
    </row>
    <row r="28" spans="2:2" x14ac:dyDescent="0.25">
      <c r="B28" t="s">
        <v>109</v>
      </c>
    </row>
    <row r="29" spans="2:2" x14ac:dyDescent="0.25">
      <c r="B29" s="10" t="s">
        <v>110</v>
      </c>
    </row>
    <row r="30" spans="2:2" x14ac:dyDescent="0.25">
      <c r="B30" s="10" t="s">
        <v>111</v>
      </c>
    </row>
    <row r="31" spans="2:2" x14ac:dyDescent="0.25">
      <c r="B31" s="10" t="s">
        <v>112</v>
      </c>
    </row>
    <row r="32" spans="2:2" x14ac:dyDescent="0.25">
      <c r="B32" s="10"/>
    </row>
    <row r="33" spans="2:2" x14ac:dyDescent="0.25">
      <c r="B33" s="10" t="s">
        <v>118</v>
      </c>
    </row>
    <row r="35" spans="2:2" x14ac:dyDescent="0.25">
      <c r="B35" s="6" t="s">
        <v>113</v>
      </c>
    </row>
    <row r="36" spans="2:2" x14ac:dyDescent="0.25">
      <c r="B36" t="s">
        <v>114</v>
      </c>
    </row>
    <row r="37" spans="2:2" x14ac:dyDescent="0.25">
      <c r="B37" s="10" t="s">
        <v>110</v>
      </c>
    </row>
    <row r="38" spans="2:2" x14ac:dyDescent="0.25">
      <c r="B38" s="10" t="s">
        <v>111</v>
      </c>
    </row>
    <row r="39" spans="2:2" x14ac:dyDescent="0.25">
      <c r="B39" s="10" t="s">
        <v>117</v>
      </c>
    </row>
    <row r="40" spans="2:2" x14ac:dyDescent="0.25">
      <c r="B40" s="10" t="s">
        <v>112</v>
      </c>
    </row>
    <row r="41" spans="2:2" x14ac:dyDescent="0.25">
      <c r="B41" s="10"/>
    </row>
    <row r="42" spans="2:2" x14ac:dyDescent="0.25">
      <c r="B42" s="10" t="s">
        <v>119</v>
      </c>
    </row>
    <row r="44" spans="2:2" x14ac:dyDescent="0.25">
      <c r="B44" s="6" t="s">
        <v>115</v>
      </c>
    </row>
    <row r="45" spans="2:2" x14ac:dyDescent="0.25">
      <c r="B45" t="s">
        <v>116</v>
      </c>
    </row>
    <row r="46" spans="2:2" x14ac:dyDescent="0.25">
      <c r="B46" s="10" t="s">
        <v>110</v>
      </c>
    </row>
    <row r="47" spans="2:2" x14ac:dyDescent="0.25">
      <c r="B47" s="10" t="s">
        <v>111</v>
      </c>
    </row>
    <row r="48" spans="2:2" x14ac:dyDescent="0.25">
      <c r="B48" s="10" t="s">
        <v>117</v>
      </c>
    </row>
    <row r="49" spans="2:2" x14ac:dyDescent="0.25">
      <c r="B49" s="10" t="s">
        <v>112</v>
      </c>
    </row>
    <row r="51" spans="2:2" x14ac:dyDescent="0.25">
      <c r="B51" t="s">
        <v>120</v>
      </c>
    </row>
    <row r="54" spans="2:2" x14ac:dyDescent="0.25">
      <c r="B54" t="s">
        <v>121</v>
      </c>
    </row>
    <row r="55" spans="2:2" x14ac:dyDescent="0.25">
      <c r="B55" t="s">
        <v>122</v>
      </c>
    </row>
    <row r="56" spans="2:2" x14ac:dyDescent="0.25">
      <c r="B56" t="s">
        <v>123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1B7B5-10F1-4D17-BE03-ED0A368D3260}">
  <sheetPr>
    <pageSetUpPr fitToPage="1"/>
  </sheetPr>
  <dimension ref="A1:AT44"/>
  <sheetViews>
    <sheetView tabSelected="1" workbookViewId="0">
      <pane ySplit="5" topLeftCell="A6" activePane="bottomLeft" state="frozen"/>
      <selection pane="bottomLeft" activeCell="A34" sqref="A34"/>
    </sheetView>
  </sheetViews>
  <sheetFormatPr defaultRowHeight="15" x14ac:dyDescent="0.25"/>
  <cols>
    <col min="1" max="1" width="25.42578125" customWidth="1"/>
    <col min="2" max="2" width="10.28515625" customWidth="1"/>
    <col min="3" max="3" width="12.5703125" customWidth="1"/>
    <col min="4" max="4" width="12.28515625" customWidth="1"/>
    <col min="5" max="5" width="13.42578125" customWidth="1"/>
    <col min="6" max="6" width="11.42578125" customWidth="1"/>
    <col min="7" max="7" width="14" customWidth="1"/>
    <col min="8" max="8" width="16.140625" customWidth="1"/>
    <col min="9" max="9" width="16.42578125" customWidth="1"/>
    <col min="10" max="10" width="17.140625" customWidth="1"/>
    <col min="13" max="13" width="15.140625" customWidth="1"/>
    <col min="14" max="15" width="11.5703125" customWidth="1"/>
    <col min="16" max="16" width="14.140625" customWidth="1"/>
    <col min="17" max="18" width="21.28515625" customWidth="1"/>
    <col min="19" max="19" width="22.7109375" customWidth="1"/>
    <col min="20" max="22" width="22.5703125" customWidth="1"/>
    <col min="23" max="23" width="20.5703125" customWidth="1"/>
    <col min="24" max="24" width="20.85546875" customWidth="1"/>
    <col min="25" max="25" width="20.28515625" customWidth="1"/>
    <col min="26" max="26" width="20.85546875" customWidth="1"/>
    <col min="27" max="27" width="21.140625" customWidth="1"/>
    <col min="28" max="28" width="19.7109375" customWidth="1"/>
    <col min="29" max="30" width="14.7109375" customWidth="1"/>
    <col min="31" max="31" width="15.85546875" customWidth="1"/>
    <col min="32" max="34" width="15.140625" customWidth="1"/>
    <col min="35" max="35" width="14.42578125" customWidth="1"/>
    <col min="36" max="36" width="13" customWidth="1"/>
    <col min="37" max="37" width="15.85546875" customWidth="1"/>
    <col min="38" max="38" width="13.85546875" customWidth="1"/>
    <col min="39" max="39" width="10.28515625" customWidth="1"/>
  </cols>
  <sheetData>
    <row r="1" spans="1:46" x14ac:dyDescent="0.25">
      <c r="B1" s="39" t="s">
        <v>129</v>
      </c>
      <c r="C1" s="39"/>
      <c r="D1" s="39"/>
      <c r="E1" s="39"/>
      <c r="F1" s="39"/>
      <c r="G1" s="39"/>
      <c r="H1" s="39"/>
      <c r="I1" s="39"/>
      <c r="J1" s="39"/>
      <c r="M1" s="6" t="s">
        <v>126</v>
      </c>
      <c r="N1" s="6"/>
      <c r="O1" s="6"/>
      <c r="P1" s="6"/>
      <c r="Q1" s="6"/>
      <c r="R1" s="6"/>
      <c r="S1" s="6"/>
      <c r="Y1" s="35"/>
      <c r="Z1" s="35"/>
      <c r="AA1" s="35"/>
      <c r="AB1" s="35"/>
      <c r="AC1" s="35"/>
      <c r="AD1" s="35"/>
      <c r="AE1" s="35"/>
      <c r="AF1" s="35"/>
      <c r="AG1" s="35"/>
      <c r="AH1" s="35"/>
      <c r="AI1" s="35"/>
      <c r="AJ1" s="35"/>
      <c r="AK1" s="35"/>
      <c r="AL1" s="35"/>
      <c r="AM1" s="35"/>
      <c r="AN1" s="35"/>
      <c r="AO1" s="35"/>
    </row>
    <row r="3" spans="1:46" ht="15.75" x14ac:dyDescent="0.25">
      <c r="A3" s="17"/>
      <c r="B3" s="36"/>
      <c r="C3" s="36"/>
      <c r="D3" s="36"/>
      <c r="E3" s="37" t="s">
        <v>70</v>
      </c>
      <c r="F3" s="36"/>
      <c r="G3" s="36"/>
      <c r="H3" s="36"/>
      <c r="I3" s="17"/>
      <c r="J3" s="17"/>
      <c r="K3" s="36"/>
      <c r="L3" s="17"/>
      <c r="M3" s="22"/>
      <c r="N3" s="36"/>
      <c r="O3" s="17"/>
      <c r="P3" s="16" t="s">
        <v>23</v>
      </c>
      <c r="Q3" s="17"/>
      <c r="R3" s="17"/>
      <c r="S3" s="16" t="s">
        <v>23</v>
      </c>
      <c r="T3" s="36"/>
      <c r="U3" s="17"/>
      <c r="V3" s="16" t="s">
        <v>23</v>
      </c>
      <c r="W3" s="36"/>
      <c r="X3" s="17"/>
      <c r="Y3" s="16" t="s">
        <v>23</v>
      </c>
      <c r="Z3" s="36"/>
      <c r="AA3" s="17"/>
      <c r="AB3" s="16" t="s">
        <v>23</v>
      </c>
      <c r="AC3" s="17"/>
      <c r="AD3" s="17"/>
      <c r="AE3" s="16" t="s">
        <v>23</v>
      </c>
      <c r="AF3" s="36"/>
      <c r="AG3" s="36"/>
      <c r="AH3" s="16" t="s">
        <v>23</v>
      </c>
      <c r="AI3" s="36"/>
      <c r="AJ3" s="22"/>
      <c r="AK3" s="36"/>
      <c r="AL3" s="22"/>
      <c r="AM3" s="36"/>
      <c r="AN3" s="17"/>
    </row>
    <row r="4" spans="1:46" ht="15.75" x14ac:dyDescent="0.25">
      <c r="A4" s="17"/>
      <c r="B4" s="37"/>
      <c r="C4" s="37" t="s">
        <v>67</v>
      </c>
      <c r="D4" s="37" t="s">
        <v>71</v>
      </c>
      <c r="E4" s="37" t="s">
        <v>28</v>
      </c>
      <c r="F4" s="37"/>
      <c r="G4" s="37"/>
      <c r="H4" s="37"/>
      <c r="I4" s="11" t="s">
        <v>83</v>
      </c>
      <c r="J4" s="11"/>
      <c r="K4" s="37"/>
      <c r="L4" s="11"/>
      <c r="M4" s="16" t="s">
        <v>23</v>
      </c>
      <c r="N4" s="37" t="s">
        <v>4</v>
      </c>
      <c r="O4" s="11" t="s">
        <v>4</v>
      </c>
      <c r="P4" s="16" t="s">
        <v>4</v>
      </c>
      <c r="Q4" s="37" t="s">
        <v>6</v>
      </c>
      <c r="R4" s="11" t="s">
        <v>6</v>
      </c>
      <c r="S4" s="16" t="s">
        <v>6</v>
      </c>
      <c r="T4" s="37" t="s">
        <v>6</v>
      </c>
      <c r="U4" s="11" t="s">
        <v>6</v>
      </c>
      <c r="V4" s="16" t="s">
        <v>6</v>
      </c>
      <c r="W4" s="37" t="s">
        <v>6</v>
      </c>
      <c r="X4" s="11" t="s">
        <v>6</v>
      </c>
      <c r="Y4" s="16" t="s">
        <v>6</v>
      </c>
      <c r="Z4" s="37" t="s">
        <v>6</v>
      </c>
      <c r="AA4" s="11" t="s">
        <v>6</v>
      </c>
      <c r="AB4" s="16" t="s">
        <v>6</v>
      </c>
      <c r="AC4" s="11" t="s">
        <v>25</v>
      </c>
      <c r="AD4" s="11" t="s">
        <v>25</v>
      </c>
      <c r="AE4" s="16" t="s">
        <v>25</v>
      </c>
      <c r="AF4" s="11" t="s">
        <v>25</v>
      </c>
      <c r="AG4" s="11" t="s">
        <v>25</v>
      </c>
      <c r="AH4" s="16" t="s">
        <v>25</v>
      </c>
      <c r="AI4" s="11" t="s">
        <v>77</v>
      </c>
      <c r="AJ4" s="22"/>
      <c r="AK4" s="11" t="s">
        <v>79</v>
      </c>
      <c r="AL4" s="22"/>
      <c r="AM4" s="17"/>
      <c r="AN4" s="17"/>
    </row>
    <row r="5" spans="1:46" ht="16.5" thickBot="1" x14ac:dyDescent="0.3">
      <c r="A5" s="23" t="s">
        <v>104</v>
      </c>
      <c r="B5" s="38" t="s">
        <v>0</v>
      </c>
      <c r="C5" s="38" t="s">
        <v>68</v>
      </c>
      <c r="D5" s="38" t="s">
        <v>21</v>
      </c>
      <c r="E5" s="38" t="s">
        <v>69</v>
      </c>
      <c r="F5" s="38" t="s">
        <v>22</v>
      </c>
      <c r="G5" s="38" t="s">
        <v>1</v>
      </c>
      <c r="H5" s="38" t="s">
        <v>2</v>
      </c>
      <c r="I5" s="23" t="s">
        <v>2</v>
      </c>
      <c r="J5" s="23" t="s">
        <v>24</v>
      </c>
      <c r="K5" s="38" t="s">
        <v>3</v>
      </c>
      <c r="L5" s="23" t="s">
        <v>3</v>
      </c>
      <c r="M5" s="24" t="s">
        <v>3</v>
      </c>
      <c r="N5" s="38" t="s">
        <v>5</v>
      </c>
      <c r="O5" s="23" t="s">
        <v>5</v>
      </c>
      <c r="P5" s="24" t="s">
        <v>5</v>
      </c>
      <c r="Q5" s="38" t="s">
        <v>7</v>
      </c>
      <c r="R5" s="23" t="s">
        <v>7</v>
      </c>
      <c r="S5" s="24" t="s">
        <v>7</v>
      </c>
      <c r="T5" s="38" t="s">
        <v>8</v>
      </c>
      <c r="U5" s="23" t="s">
        <v>8</v>
      </c>
      <c r="V5" s="24" t="s">
        <v>8</v>
      </c>
      <c r="W5" s="38" t="s">
        <v>9</v>
      </c>
      <c r="X5" s="23" t="s">
        <v>9</v>
      </c>
      <c r="Y5" s="24" t="s">
        <v>9</v>
      </c>
      <c r="Z5" s="38" t="s">
        <v>10</v>
      </c>
      <c r="AA5" s="23" t="s">
        <v>10</v>
      </c>
      <c r="AB5" s="24" t="s">
        <v>10</v>
      </c>
      <c r="AC5" s="23" t="s">
        <v>26</v>
      </c>
      <c r="AD5" s="23" t="s">
        <v>26</v>
      </c>
      <c r="AE5" s="24" t="s">
        <v>26</v>
      </c>
      <c r="AF5" s="23" t="s">
        <v>27</v>
      </c>
      <c r="AG5" s="23" t="s">
        <v>27</v>
      </c>
      <c r="AH5" s="24" t="s">
        <v>27</v>
      </c>
      <c r="AI5" s="23" t="s">
        <v>78</v>
      </c>
      <c r="AJ5" s="24" t="s">
        <v>80</v>
      </c>
      <c r="AK5" s="23" t="s">
        <v>78</v>
      </c>
      <c r="AL5" s="24" t="s">
        <v>81</v>
      </c>
      <c r="AM5" s="23" t="s">
        <v>0</v>
      </c>
      <c r="AN5" s="25"/>
      <c r="AO5" s="2"/>
      <c r="AP5" s="2"/>
      <c r="AQ5" s="2"/>
      <c r="AR5" s="2"/>
      <c r="AS5" s="2"/>
      <c r="AT5" s="2"/>
    </row>
    <row r="6" spans="1:46" ht="15.75" x14ac:dyDescent="0.25">
      <c r="A6" s="11" t="s">
        <v>103</v>
      </c>
      <c r="B6" s="11">
        <v>85</v>
      </c>
      <c r="C6" s="11">
        <v>1987</v>
      </c>
      <c r="D6" s="11">
        <v>35559</v>
      </c>
      <c r="E6" s="11">
        <v>89.6</v>
      </c>
      <c r="F6" s="11">
        <v>316</v>
      </c>
      <c r="G6" s="34">
        <f t="shared" ref="G6:G40" si="0">D6/F6</f>
        <v>112.52848101265823</v>
      </c>
      <c r="H6" s="11">
        <v>844</v>
      </c>
      <c r="I6" s="11">
        <v>695</v>
      </c>
      <c r="J6" s="12">
        <f t="shared" ref="J6:J40" si="1">D6/I6</f>
        <v>51.164028776978419</v>
      </c>
      <c r="K6" s="11">
        <v>0</v>
      </c>
      <c r="L6" s="11"/>
      <c r="M6" s="13">
        <f t="shared" ref="M6:M40" si="2">ASIN(SQRT(L6))*(180/PI( ))</f>
        <v>0</v>
      </c>
      <c r="N6" s="14">
        <v>0</v>
      </c>
      <c r="O6" s="14">
        <v>0</v>
      </c>
      <c r="P6" s="15">
        <v>0</v>
      </c>
      <c r="Q6" s="11">
        <v>84.2</v>
      </c>
      <c r="R6" s="11">
        <v>0.84199999999999997</v>
      </c>
      <c r="S6" s="13">
        <f t="shared" ref="S6:S40" si="3">ASIN(SQRT(R6))*(180/PI( ))</f>
        <v>66.578506739666963</v>
      </c>
      <c r="T6" s="11">
        <v>0</v>
      </c>
      <c r="U6" s="11">
        <v>0</v>
      </c>
      <c r="V6" s="13">
        <f t="shared" ref="V6:V40" si="4">ASIN(SQRT(U6))*(180/PI( ))</f>
        <v>0</v>
      </c>
      <c r="W6" s="11">
        <v>84.2</v>
      </c>
      <c r="X6" s="11">
        <v>0.84199999999999997</v>
      </c>
      <c r="Y6" s="13">
        <f t="shared" ref="Y6:Y40" si="5">ASIN(SQRT(X6))*(180/PI( ))</f>
        <v>66.578506739666963</v>
      </c>
      <c r="Z6" s="11">
        <v>15.8</v>
      </c>
      <c r="AA6" s="11">
        <v>0.158</v>
      </c>
      <c r="AB6" s="13">
        <f t="shared" ref="AB6:AB40" si="6">ASIN(SQRT(AA6))*(180/PI( ))</f>
        <v>23.421493260333037</v>
      </c>
      <c r="AC6" s="12">
        <v>1.1000000000000001</v>
      </c>
      <c r="AD6" s="18">
        <v>1.0999999999999999E-2</v>
      </c>
      <c r="AE6" s="13">
        <f t="shared" ref="AE6:AE39" si="7">ASIN(SQRT(AD6))*(180/PI( ))</f>
        <v>6.0203038705828078</v>
      </c>
      <c r="AF6" s="12">
        <v>1.05</v>
      </c>
      <c r="AG6" s="18">
        <v>1.0500000000000001E-2</v>
      </c>
      <c r="AH6" s="13">
        <f t="shared" ref="AH6:AH39" si="8">ASIN(SQRT(AG6))*(180/PI( ))</f>
        <v>5.8813935427470732</v>
      </c>
      <c r="AI6" s="12">
        <v>0.56000000000000005</v>
      </c>
      <c r="AJ6" s="16">
        <v>-0.56999999999999995</v>
      </c>
      <c r="AK6" s="12">
        <v>0.54</v>
      </c>
      <c r="AL6" s="13">
        <v>-0.62</v>
      </c>
      <c r="AM6" s="11">
        <v>85</v>
      </c>
      <c r="AN6" s="17"/>
    </row>
    <row r="7" spans="1:46" ht="15.75" x14ac:dyDescent="0.25">
      <c r="A7" s="11" t="s">
        <v>103</v>
      </c>
      <c r="B7" s="11">
        <v>86</v>
      </c>
      <c r="C7" s="11">
        <v>1988</v>
      </c>
      <c r="D7" s="11">
        <v>51004</v>
      </c>
      <c r="E7" s="11">
        <v>97.3</v>
      </c>
      <c r="F7" s="11">
        <v>200</v>
      </c>
      <c r="G7" s="34">
        <f t="shared" si="0"/>
        <v>255.02</v>
      </c>
      <c r="H7" s="11">
        <v>636</v>
      </c>
      <c r="I7" s="11">
        <v>440</v>
      </c>
      <c r="J7" s="12">
        <f t="shared" si="1"/>
        <v>115.91818181818182</v>
      </c>
      <c r="K7" s="11">
        <v>0</v>
      </c>
      <c r="L7" s="11"/>
      <c r="M7" s="13">
        <f t="shared" si="2"/>
        <v>0</v>
      </c>
      <c r="N7" s="14">
        <v>0</v>
      </c>
      <c r="O7" s="14">
        <v>0</v>
      </c>
      <c r="P7" s="15">
        <v>0</v>
      </c>
      <c r="Q7" s="11">
        <v>79</v>
      </c>
      <c r="R7" s="11">
        <v>0.79</v>
      </c>
      <c r="S7" s="13">
        <f t="shared" si="3"/>
        <v>62.725271319587712</v>
      </c>
      <c r="T7" s="11">
        <v>0</v>
      </c>
      <c r="U7" s="11">
        <v>0</v>
      </c>
      <c r="V7" s="13">
        <f t="shared" si="4"/>
        <v>0</v>
      </c>
      <c r="W7" s="11">
        <v>81.5</v>
      </c>
      <c r="X7" s="11">
        <v>0.81499999999999995</v>
      </c>
      <c r="Y7" s="13">
        <f t="shared" si="5"/>
        <v>64.52506126807674</v>
      </c>
      <c r="Z7" s="11">
        <v>18.5</v>
      </c>
      <c r="AA7" s="11">
        <v>0.185</v>
      </c>
      <c r="AB7" s="13">
        <f t="shared" si="6"/>
        <v>25.474938731923253</v>
      </c>
      <c r="AC7" s="12">
        <v>0.92</v>
      </c>
      <c r="AD7" s="18">
        <v>9.1999999999999998E-3</v>
      </c>
      <c r="AE7" s="13">
        <f t="shared" si="7"/>
        <v>5.5040798037003755</v>
      </c>
      <c r="AF7" s="12">
        <v>0.91</v>
      </c>
      <c r="AG7" s="18">
        <v>9.1000000000000004E-3</v>
      </c>
      <c r="AH7" s="13">
        <f t="shared" si="8"/>
        <v>5.4739927442576013</v>
      </c>
      <c r="AI7" s="12">
        <v>1.06</v>
      </c>
      <c r="AJ7" s="16">
        <v>0.06</v>
      </c>
      <c r="AK7" s="12">
        <v>1.06</v>
      </c>
      <c r="AL7" s="13">
        <v>0.06</v>
      </c>
      <c r="AM7" s="11">
        <v>86</v>
      </c>
      <c r="AN7" s="17"/>
    </row>
    <row r="8" spans="1:46" ht="15.75" x14ac:dyDescent="0.25">
      <c r="A8" s="11" t="s">
        <v>103</v>
      </c>
      <c r="B8" s="11">
        <v>87</v>
      </c>
      <c r="C8" s="11">
        <v>1989</v>
      </c>
      <c r="D8" s="11">
        <v>52349</v>
      </c>
      <c r="E8" s="11">
        <v>96.7</v>
      </c>
      <c r="F8" s="11">
        <v>185</v>
      </c>
      <c r="G8" s="34">
        <f t="shared" si="0"/>
        <v>282.96756756756758</v>
      </c>
      <c r="H8" s="11">
        <v>582</v>
      </c>
      <c r="I8" s="11">
        <v>407</v>
      </c>
      <c r="J8" s="12">
        <f t="shared" si="1"/>
        <v>128.62162162162161</v>
      </c>
      <c r="K8" s="11">
        <v>0</v>
      </c>
      <c r="L8" s="11"/>
      <c r="M8" s="13">
        <f t="shared" si="2"/>
        <v>0</v>
      </c>
      <c r="N8" s="14">
        <v>0</v>
      </c>
      <c r="O8" s="14">
        <v>0</v>
      </c>
      <c r="P8" s="15">
        <v>0</v>
      </c>
      <c r="Q8" s="11">
        <v>83.8</v>
      </c>
      <c r="R8" s="11">
        <v>0.83799999999999997</v>
      </c>
      <c r="S8" s="13">
        <f t="shared" si="3"/>
        <v>66.265927084944238</v>
      </c>
      <c r="T8" s="11">
        <v>0</v>
      </c>
      <c r="U8" s="11">
        <v>0</v>
      </c>
      <c r="V8" s="13">
        <f t="shared" si="4"/>
        <v>0</v>
      </c>
      <c r="W8" s="11">
        <v>80.5</v>
      </c>
      <c r="X8" s="11">
        <v>0.80500000000000005</v>
      </c>
      <c r="Y8" s="13">
        <f t="shared" si="5"/>
        <v>63.794751482428438</v>
      </c>
      <c r="Z8" s="11">
        <v>19.5</v>
      </c>
      <c r="AA8" s="11">
        <v>0.19500000000000001</v>
      </c>
      <c r="AB8" s="13">
        <f t="shared" si="6"/>
        <v>26.205248517571569</v>
      </c>
      <c r="AC8" s="12">
        <v>0.44</v>
      </c>
      <c r="AD8" s="18">
        <v>4.4000000000000003E-3</v>
      </c>
      <c r="AE8" s="13">
        <f t="shared" si="7"/>
        <v>3.8033646734167577</v>
      </c>
      <c r="AF8" s="12">
        <v>0.44</v>
      </c>
      <c r="AG8" s="18">
        <v>4.4000000000000003E-3</v>
      </c>
      <c r="AH8" s="13">
        <f t="shared" si="8"/>
        <v>3.8033646734167577</v>
      </c>
      <c r="AI8" s="12">
        <v>0.56000000000000005</v>
      </c>
      <c r="AJ8" s="16">
        <v>-0.57999999999999996</v>
      </c>
      <c r="AK8" s="12">
        <v>0.56000000000000005</v>
      </c>
      <c r="AL8" s="13">
        <v>-0.57999999999999996</v>
      </c>
      <c r="AM8" s="11">
        <v>87</v>
      </c>
      <c r="AN8" s="17"/>
    </row>
    <row r="9" spans="1:46" ht="15.75" x14ac:dyDescent="0.25">
      <c r="A9" s="11" t="s">
        <v>103</v>
      </c>
      <c r="B9" s="11">
        <v>88</v>
      </c>
      <c r="C9" s="11">
        <v>1990</v>
      </c>
      <c r="D9" s="11">
        <v>35925</v>
      </c>
      <c r="E9" s="11">
        <v>96.9</v>
      </c>
      <c r="F9" s="11">
        <v>117</v>
      </c>
      <c r="G9" s="34">
        <f t="shared" si="0"/>
        <v>307.05128205128204</v>
      </c>
      <c r="H9" s="11">
        <v>429</v>
      </c>
      <c r="I9" s="11">
        <v>257</v>
      </c>
      <c r="J9" s="12">
        <f t="shared" si="1"/>
        <v>139.78599221789884</v>
      </c>
      <c r="K9" s="11">
        <v>0</v>
      </c>
      <c r="L9" s="11"/>
      <c r="M9" s="13">
        <f t="shared" si="2"/>
        <v>0</v>
      </c>
      <c r="N9" s="14">
        <v>0</v>
      </c>
      <c r="O9" s="14">
        <v>0</v>
      </c>
      <c r="P9" s="15">
        <v>0</v>
      </c>
      <c r="Q9" s="11">
        <v>82.9</v>
      </c>
      <c r="R9" s="11">
        <v>0.82899999999999996</v>
      </c>
      <c r="S9" s="13">
        <f t="shared" si="3"/>
        <v>65.573759605071047</v>
      </c>
      <c r="T9" s="11">
        <v>0</v>
      </c>
      <c r="U9" s="11">
        <v>0</v>
      </c>
      <c r="V9" s="13">
        <f t="shared" si="4"/>
        <v>0</v>
      </c>
      <c r="W9" s="11">
        <v>76.900000000000006</v>
      </c>
      <c r="X9" s="11">
        <v>0.76900000000000002</v>
      </c>
      <c r="Y9" s="13">
        <f t="shared" si="5"/>
        <v>61.273796845154585</v>
      </c>
      <c r="Z9" s="11">
        <v>23.1</v>
      </c>
      <c r="AA9" s="11">
        <v>0.23100000000000001</v>
      </c>
      <c r="AB9" s="13">
        <f t="shared" si="6"/>
        <v>28.726203154845418</v>
      </c>
      <c r="AC9" s="12">
        <v>1.4</v>
      </c>
      <c r="AD9" s="18">
        <v>1.4E-2</v>
      </c>
      <c r="AE9" s="13">
        <f t="shared" si="7"/>
        <v>6.7952469834029543</v>
      </c>
      <c r="AF9" s="12">
        <v>1.39</v>
      </c>
      <c r="AG9" s="18">
        <v>1.3899999999999999E-2</v>
      </c>
      <c r="AH9" s="13">
        <f t="shared" si="8"/>
        <v>6.7708207357958416</v>
      </c>
      <c r="AI9" s="12">
        <v>1.95</v>
      </c>
      <c r="AJ9" s="16">
        <v>0.67</v>
      </c>
      <c r="AK9" s="12">
        <v>1.94</v>
      </c>
      <c r="AL9" s="13">
        <v>0.66</v>
      </c>
      <c r="AM9" s="11">
        <v>88</v>
      </c>
      <c r="AN9" s="17"/>
    </row>
    <row r="10" spans="1:46" ht="15.75" x14ac:dyDescent="0.25">
      <c r="A10" s="11" t="s">
        <v>103</v>
      </c>
      <c r="B10" s="11">
        <v>89</v>
      </c>
      <c r="C10" s="11">
        <v>1991</v>
      </c>
      <c r="D10" s="11">
        <v>19107</v>
      </c>
      <c r="E10" s="11">
        <v>88.6</v>
      </c>
      <c r="F10" s="11">
        <v>106</v>
      </c>
      <c r="G10" s="34">
        <f t="shared" si="0"/>
        <v>180.25471698113208</v>
      </c>
      <c r="H10" s="11">
        <v>445</v>
      </c>
      <c r="I10" s="11">
        <v>276</v>
      </c>
      <c r="J10" s="12">
        <f t="shared" si="1"/>
        <v>69.228260869565219</v>
      </c>
      <c r="K10" s="11">
        <v>1.0900000000000001</v>
      </c>
      <c r="L10" s="11">
        <v>1.09E-2</v>
      </c>
      <c r="M10" s="13">
        <f t="shared" si="2"/>
        <v>5.9927756856491117</v>
      </c>
      <c r="N10" s="14">
        <v>0</v>
      </c>
      <c r="O10" s="14">
        <v>0</v>
      </c>
      <c r="P10" s="15">
        <v>0</v>
      </c>
      <c r="Q10" s="11">
        <v>78.3</v>
      </c>
      <c r="R10" s="11">
        <v>0.78300000000000003</v>
      </c>
      <c r="S10" s="13">
        <f t="shared" si="3"/>
        <v>62.235880972362537</v>
      </c>
      <c r="T10" s="11">
        <v>0</v>
      </c>
      <c r="U10" s="11">
        <v>0</v>
      </c>
      <c r="V10" s="13">
        <f t="shared" si="4"/>
        <v>0</v>
      </c>
      <c r="W10" s="11">
        <v>69.8</v>
      </c>
      <c r="X10" s="11">
        <v>0.69799999999999995</v>
      </c>
      <c r="Y10" s="13">
        <f t="shared" si="5"/>
        <v>56.664178052201216</v>
      </c>
      <c r="Z10" s="11">
        <v>30.2</v>
      </c>
      <c r="AA10" s="11">
        <v>0.30199999999999999</v>
      </c>
      <c r="AB10" s="13">
        <f t="shared" si="6"/>
        <v>33.335821947798792</v>
      </c>
      <c r="AC10" s="12">
        <v>0.8</v>
      </c>
      <c r="AD10" s="18">
        <v>8.0000000000000002E-3</v>
      </c>
      <c r="AE10" s="13">
        <f t="shared" si="7"/>
        <v>5.1315479493112788</v>
      </c>
      <c r="AF10" s="12">
        <v>0.74</v>
      </c>
      <c r="AG10" s="18">
        <v>7.4000000000000003E-3</v>
      </c>
      <c r="AH10" s="13">
        <f t="shared" si="8"/>
        <v>4.9348684655653994</v>
      </c>
      <c r="AI10" s="12">
        <v>0.55000000000000004</v>
      </c>
      <c r="AJ10" s="16">
        <v>-0.59</v>
      </c>
      <c r="AK10" s="12">
        <v>0.51</v>
      </c>
      <c r="AL10" s="13">
        <v>-0.67</v>
      </c>
      <c r="AM10" s="11">
        <v>89</v>
      </c>
      <c r="AN10" s="17"/>
    </row>
    <row r="11" spans="1:46" ht="15.75" x14ac:dyDescent="0.25">
      <c r="A11" s="11" t="s">
        <v>103</v>
      </c>
      <c r="B11" s="11">
        <v>90</v>
      </c>
      <c r="C11" s="11">
        <v>1992</v>
      </c>
      <c r="D11" s="11">
        <v>32969</v>
      </c>
      <c r="E11" s="11">
        <v>95.1</v>
      </c>
      <c r="F11" s="11">
        <v>180</v>
      </c>
      <c r="G11" s="34">
        <f t="shared" si="0"/>
        <v>183.1611111111111</v>
      </c>
      <c r="H11" s="11">
        <v>746</v>
      </c>
      <c r="I11" s="11">
        <v>572</v>
      </c>
      <c r="J11" s="12">
        <f t="shared" si="1"/>
        <v>57.638111888111887</v>
      </c>
      <c r="K11" s="11">
        <v>21.5</v>
      </c>
      <c r="L11" s="11">
        <v>0.215</v>
      </c>
      <c r="M11" s="13">
        <f t="shared" si="2"/>
        <v>27.624887123158771</v>
      </c>
      <c r="N11" s="11">
        <v>1.9</v>
      </c>
      <c r="O11" s="11">
        <v>1.9E-2</v>
      </c>
      <c r="P11" s="13">
        <f t="shared" ref="P11:P40" si="9">ASIN(SQRT(O11))*(180/PI( ))</f>
        <v>7.9229037748754108</v>
      </c>
      <c r="Q11" s="11">
        <v>62.2</v>
      </c>
      <c r="R11" s="11">
        <v>0.622</v>
      </c>
      <c r="S11" s="13">
        <f t="shared" si="3"/>
        <v>52.061372273782219</v>
      </c>
      <c r="T11" s="11">
        <v>1.1000000000000001</v>
      </c>
      <c r="U11" s="11">
        <v>1.0999999999999999E-2</v>
      </c>
      <c r="V11" s="13">
        <f t="shared" si="4"/>
        <v>6.0203038705828078</v>
      </c>
      <c r="W11" s="11">
        <v>53.3</v>
      </c>
      <c r="X11" s="11">
        <v>0.53300000000000003</v>
      </c>
      <c r="Y11" s="13">
        <f t="shared" si="5"/>
        <v>46.892136113966188</v>
      </c>
      <c r="Z11" s="11">
        <v>46.7</v>
      </c>
      <c r="AA11" s="11">
        <v>0.46700000000000003</v>
      </c>
      <c r="AB11" s="13">
        <f t="shared" si="6"/>
        <v>43.107863886033812</v>
      </c>
      <c r="AC11" s="12">
        <v>0.28999999999999998</v>
      </c>
      <c r="AD11" s="19">
        <v>2.8999999999999998E-3</v>
      </c>
      <c r="AE11" s="13">
        <f t="shared" si="7"/>
        <v>3.0869654153807926</v>
      </c>
      <c r="AF11" s="12">
        <v>0.26</v>
      </c>
      <c r="AG11" s="18">
        <v>2.5999999999999999E-3</v>
      </c>
      <c r="AH11" s="13">
        <f t="shared" si="8"/>
        <v>2.9227904546361261</v>
      </c>
      <c r="AI11" s="12">
        <v>0.16</v>
      </c>
      <c r="AJ11" s="16">
        <v>-1.81</v>
      </c>
      <c r="AK11" s="12">
        <v>0.15</v>
      </c>
      <c r="AL11" s="13">
        <v>-1.89</v>
      </c>
      <c r="AM11" s="11">
        <v>90</v>
      </c>
      <c r="AN11" s="17"/>
    </row>
    <row r="12" spans="1:46" ht="15.75" x14ac:dyDescent="0.25">
      <c r="A12" s="11" t="s">
        <v>106</v>
      </c>
      <c r="B12" s="11">
        <v>92</v>
      </c>
      <c r="C12" s="11">
        <v>1994</v>
      </c>
      <c r="D12" s="11">
        <v>36749</v>
      </c>
      <c r="E12" s="11">
        <v>95.8</v>
      </c>
      <c r="F12" s="11">
        <v>200</v>
      </c>
      <c r="G12" s="34">
        <f t="shared" si="0"/>
        <v>183.745</v>
      </c>
      <c r="H12" s="11">
        <v>672</v>
      </c>
      <c r="I12" s="11">
        <v>476</v>
      </c>
      <c r="J12" s="12">
        <f t="shared" si="1"/>
        <v>77.203781512605048</v>
      </c>
      <c r="K12" s="11">
        <v>35.92</v>
      </c>
      <c r="L12" s="11">
        <v>0.35920000000000002</v>
      </c>
      <c r="M12" s="13">
        <f t="shared" si="2"/>
        <v>36.822139530094667</v>
      </c>
      <c r="N12" s="11">
        <v>1.3</v>
      </c>
      <c r="O12" s="11">
        <v>1.2999999999999999E-2</v>
      </c>
      <c r="P12" s="13">
        <f t="shared" si="9"/>
        <v>6.5469616602852474</v>
      </c>
      <c r="Q12" s="11">
        <v>82.5</v>
      </c>
      <c r="R12" s="11">
        <v>0.82499999999999996</v>
      </c>
      <c r="S12" s="13">
        <f t="shared" si="3"/>
        <v>65.270800936752266</v>
      </c>
      <c r="T12" s="11">
        <v>0.5</v>
      </c>
      <c r="U12" s="11">
        <v>5.0000000000000001E-3</v>
      </c>
      <c r="V12" s="13">
        <f t="shared" si="4"/>
        <v>4.0548072279970899</v>
      </c>
      <c r="W12" s="11">
        <v>60.5</v>
      </c>
      <c r="X12" s="11">
        <v>0.60499999999999998</v>
      </c>
      <c r="Y12" s="13">
        <f t="shared" si="5"/>
        <v>51.061176122394563</v>
      </c>
      <c r="Z12" s="11">
        <v>39.5</v>
      </c>
      <c r="AA12" s="11">
        <v>0.39500000000000002</v>
      </c>
      <c r="AB12" s="13">
        <f t="shared" si="6"/>
        <v>38.938823877605451</v>
      </c>
      <c r="AC12" s="12">
        <v>0.44</v>
      </c>
      <c r="AD12" s="18">
        <v>4.4000000000000003E-3</v>
      </c>
      <c r="AE12" s="13">
        <f t="shared" si="7"/>
        <v>3.8033646734167577</v>
      </c>
      <c r="AF12" s="12">
        <v>0.43</v>
      </c>
      <c r="AG12" s="18">
        <v>4.3E-3</v>
      </c>
      <c r="AH12" s="13">
        <f t="shared" si="8"/>
        <v>3.7598333559607968</v>
      </c>
      <c r="AI12" s="12">
        <v>0.34</v>
      </c>
      <c r="AJ12" s="16">
        <v>-1.08</v>
      </c>
      <c r="AK12" s="12">
        <v>0.33</v>
      </c>
      <c r="AL12" s="13">
        <v>-1.1000000000000001</v>
      </c>
      <c r="AM12" s="11">
        <v>92</v>
      </c>
      <c r="AN12" s="17"/>
    </row>
    <row r="13" spans="1:46" ht="15.75" x14ac:dyDescent="0.25">
      <c r="A13" s="11" t="s">
        <v>105</v>
      </c>
      <c r="B13" s="11">
        <v>93</v>
      </c>
      <c r="C13" s="11">
        <v>1995</v>
      </c>
      <c r="D13" s="11">
        <v>34623</v>
      </c>
      <c r="E13" s="11">
        <v>93.1</v>
      </c>
      <c r="F13" s="11">
        <v>192</v>
      </c>
      <c r="G13" s="34">
        <f t="shared" si="0"/>
        <v>180.328125</v>
      </c>
      <c r="H13" s="11">
        <v>533</v>
      </c>
      <c r="I13" s="11">
        <v>397</v>
      </c>
      <c r="J13" s="12">
        <f t="shared" si="1"/>
        <v>87.211586901763226</v>
      </c>
      <c r="K13" s="11">
        <v>38.29</v>
      </c>
      <c r="L13" s="11">
        <v>0.38290000000000002</v>
      </c>
      <c r="M13" s="13">
        <f t="shared" si="2"/>
        <v>38.227764892601094</v>
      </c>
      <c r="N13" s="11">
        <v>0.3</v>
      </c>
      <c r="O13" s="11">
        <v>3.0000000000000001E-3</v>
      </c>
      <c r="P13" s="13">
        <f t="shared" si="9"/>
        <v>3.1397903205485127</v>
      </c>
      <c r="Q13" s="11">
        <v>81.8</v>
      </c>
      <c r="R13" s="11">
        <v>0.81799999999999995</v>
      </c>
      <c r="S13" s="13">
        <f t="shared" si="3"/>
        <v>64.747096058980887</v>
      </c>
      <c r="T13" s="11">
        <v>0.5</v>
      </c>
      <c r="U13" s="11">
        <v>5.0000000000000001E-3</v>
      </c>
      <c r="V13" s="13">
        <f t="shared" si="4"/>
        <v>4.0548072279970899</v>
      </c>
      <c r="W13" s="11">
        <v>62</v>
      </c>
      <c r="X13" s="11">
        <v>0.62</v>
      </c>
      <c r="Y13" s="13">
        <f t="shared" si="5"/>
        <v>51.943270181314496</v>
      </c>
      <c r="Z13" s="11">
        <v>38</v>
      </c>
      <c r="AA13" s="11">
        <v>0.38</v>
      </c>
      <c r="AB13" s="13">
        <f t="shared" si="6"/>
        <v>38.056729818685504</v>
      </c>
      <c r="AC13" s="12">
        <v>0.51</v>
      </c>
      <c r="AD13" s="18">
        <v>5.1000000000000004E-3</v>
      </c>
      <c r="AE13" s="13">
        <f t="shared" si="7"/>
        <v>4.0952230692974982</v>
      </c>
      <c r="AF13" s="12">
        <v>0.51</v>
      </c>
      <c r="AG13" s="18">
        <v>5.1000000000000004E-3</v>
      </c>
      <c r="AH13" s="13">
        <f t="shared" si="8"/>
        <v>4.0952230692974982</v>
      </c>
      <c r="AI13" s="12">
        <v>0.45</v>
      </c>
      <c r="AJ13" s="16">
        <v>-0.81</v>
      </c>
      <c r="AK13" s="12">
        <v>0.44</v>
      </c>
      <c r="AL13" s="13">
        <v>-0.82</v>
      </c>
      <c r="AM13" s="11">
        <v>93</v>
      </c>
      <c r="AN13" s="17"/>
    </row>
    <row r="14" spans="1:46" ht="15.75" x14ac:dyDescent="0.25">
      <c r="A14" s="11" t="s">
        <v>105</v>
      </c>
      <c r="B14" s="11">
        <v>94</v>
      </c>
      <c r="C14" s="11">
        <v>1996</v>
      </c>
      <c r="D14" s="11">
        <v>4957</v>
      </c>
      <c r="E14" s="11">
        <v>106.2</v>
      </c>
      <c r="F14" s="11">
        <v>44</v>
      </c>
      <c r="G14" s="34">
        <f t="shared" si="0"/>
        <v>112.65909090909091</v>
      </c>
      <c r="H14" s="11">
        <v>140</v>
      </c>
      <c r="I14" s="11">
        <v>97</v>
      </c>
      <c r="J14" s="12">
        <f t="shared" si="1"/>
        <v>51.103092783505154</v>
      </c>
      <c r="K14" s="11">
        <v>0</v>
      </c>
      <c r="L14" s="11">
        <v>0</v>
      </c>
      <c r="M14" s="13">
        <f t="shared" si="2"/>
        <v>0</v>
      </c>
      <c r="N14" s="11">
        <v>0</v>
      </c>
      <c r="O14" s="11">
        <v>0</v>
      </c>
      <c r="P14" s="13">
        <f t="shared" si="9"/>
        <v>0</v>
      </c>
      <c r="Q14" s="11">
        <v>25</v>
      </c>
      <c r="R14" s="11">
        <v>0.25</v>
      </c>
      <c r="S14" s="13">
        <f t="shared" si="3"/>
        <v>30.000000000000004</v>
      </c>
      <c r="T14" s="11">
        <v>11.4</v>
      </c>
      <c r="U14" s="11">
        <v>0.114</v>
      </c>
      <c r="V14" s="13">
        <f t="shared" si="4"/>
        <v>19.733085811011932</v>
      </c>
      <c r="W14" s="11">
        <v>4.5</v>
      </c>
      <c r="X14" s="11">
        <v>4.4999999999999998E-2</v>
      </c>
      <c r="Y14" s="13">
        <f t="shared" si="5"/>
        <v>12.247324235709842</v>
      </c>
      <c r="Z14" s="11">
        <v>95.5</v>
      </c>
      <c r="AA14" s="11">
        <v>0.95499999999999996</v>
      </c>
      <c r="AB14" s="13">
        <f t="shared" si="6"/>
        <v>77.752675764290174</v>
      </c>
      <c r="AC14" s="12">
        <v>0.24</v>
      </c>
      <c r="AD14" s="18">
        <v>2.3999999999999998E-3</v>
      </c>
      <c r="AE14" s="13">
        <f t="shared" si="7"/>
        <v>2.8080324621545736</v>
      </c>
      <c r="AF14" s="12">
        <v>0.24</v>
      </c>
      <c r="AG14" s="18">
        <v>2.3999999999999998E-3</v>
      </c>
      <c r="AH14" s="13">
        <f t="shared" si="8"/>
        <v>2.8080324621545736</v>
      </c>
      <c r="AI14" s="12">
        <v>0.12</v>
      </c>
      <c r="AJ14" s="16">
        <v>-2.09</v>
      </c>
      <c r="AK14" s="12">
        <v>0.12</v>
      </c>
      <c r="AL14" s="13">
        <v>-2.09</v>
      </c>
      <c r="AM14" s="11">
        <v>94</v>
      </c>
      <c r="AN14" s="17"/>
    </row>
    <row r="15" spans="1:46" ht="15.75" x14ac:dyDescent="0.25">
      <c r="A15" s="11" t="s">
        <v>105</v>
      </c>
      <c r="B15" s="11">
        <v>96</v>
      </c>
      <c r="C15" s="11">
        <v>1998</v>
      </c>
      <c r="D15" s="11">
        <v>2906</v>
      </c>
      <c r="E15" s="11">
        <v>112.9</v>
      </c>
      <c r="F15" s="11">
        <v>69</v>
      </c>
      <c r="G15" s="34">
        <f t="shared" si="0"/>
        <v>42.115942028985508</v>
      </c>
      <c r="H15" s="11">
        <v>223</v>
      </c>
      <c r="I15" s="11">
        <v>152</v>
      </c>
      <c r="J15" s="12">
        <f t="shared" si="1"/>
        <v>19.118421052631579</v>
      </c>
      <c r="K15" s="11">
        <v>23.03</v>
      </c>
      <c r="L15" s="11">
        <v>0.2303</v>
      </c>
      <c r="M15" s="13">
        <f t="shared" si="2"/>
        <v>28.678598208557744</v>
      </c>
      <c r="N15" s="11">
        <v>1.3</v>
      </c>
      <c r="O15" s="11">
        <v>1.2999999999999999E-2</v>
      </c>
      <c r="P15" s="13">
        <f t="shared" si="9"/>
        <v>6.5469616602852474</v>
      </c>
      <c r="Q15" s="11">
        <v>46.4</v>
      </c>
      <c r="R15" s="11">
        <v>0.46400000000000002</v>
      </c>
      <c r="S15" s="13">
        <f t="shared" si="3"/>
        <v>42.935565639381217</v>
      </c>
      <c r="T15" s="11">
        <v>1.4</v>
      </c>
      <c r="U15" s="11">
        <v>1.4E-2</v>
      </c>
      <c r="V15" s="13">
        <f t="shared" si="4"/>
        <v>6.7952469834029543</v>
      </c>
      <c r="W15" s="11">
        <v>8.6999999999999993</v>
      </c>
      <c r="X15" s="11">
        <v>8.6999999999999994E-2</v>
      </c>
      <c r="Y15" s="13">
        <f t="shared" si="5"/>
        <v>17.154996343951559</v>
      </c>
      <c r="Z15" s="11">
        <v>91.3</v>
      </c>
      <c r="AA15" s="11">
        <v>0.91300000000000003</v>
      </c>
      <c r="AB15" s="13">
        <f t="shared" si="6"/>
        <v>72.845003656048448</v>
      </c>
      <c r="AC15" s="12">
        <v>2.37</v>
      </c>
      <c r="AD15" s="18">
        <v>2.3699999999999999E-2</v>
      </c>
      <c r="AE15" s="13">
        <f t="shared" si="7"/>
        <v>8.8557913126974253</v>
      </c>
      <c r="AF15" s="12">
        <v>2.37</v>
      </c>
      <c r="AG15" s="18">
        <v>2.3699999999999999E-2</v>
      </c>
      <c r="AH15" s="13">
        <f t="shared" si="8"/>
        <v>8.8557913126974253</v>
      </c>
      <c r="AI15" s="12">
        <v>0.45</v>
      </c>
      <c r="AJ15" s="16">
        <v>-0.79</v>
      </c>
      <c r="AK15" s="12">
        <v>0.45</v>
      </c>
      <c r="AL15" s="13">
        <v>-0.79</v>
      </c>
      <c r="AM15" s="11">
        <v>96</v>
      </c>
      <c r="AN15" s="17"/>
    </row>
    <row r="16" spans="1:46" ht="15.75" x14ac:dyDescent="0.25">
      <c r="A16" s="11" t="s">
        <v>105</v>
      </c>
      <c r="B16" s="11">
        <v>97</v>
      </c>
      <c r="C16" s="11">
        <v>1999</v>
      </c>
      <c r="D16" s="11">
        <v>25553</v>
      </c>
      <c r="E16" s="11">
        <v>108.7</v>
      </c>
      <c r="F16" s="11">
        <v>73</v>
      </c>
      <c r="G16" s="34">
        <f t="shared" si="0"/>
        <v>350.04109589041099</v>
      </c>
      <c r="H16" s="11">
        <v>243</v>
      </c>
      <c r="I16" s="11">
        <v>105</v>
      </c>
      <c r="J16" s="12">
        <f t="shared" si="1"/>
        <v>243.36190476190475</v>
      </c>
      <c r="K16" s="11">
        <v>35.24</v>
      </c>
      <c r="L16" s="11">
        <v>0.35239999999999999</v>
      </c>
      <c r="M16" s="13">
        <f t="shared" si="2"/>
        <v>36.415234684519064</v>
      </c>
      <c r="N16" s="11">
        <v>2.6</v>
      </c>
      <c r="O16" s="11">
        <v>2.5999999999999999E-2</v>
      </c>
      <c r="P16" s="13">
        <f t="shared" si="9"/>
        <v>9.2791768497218747</v>
      </c>
      <c r="Q16" s="11">
        <v>53.4</v>
      </c>
      <c r="R16" s="11">
        <v>0.53400000000000003</v>
      </c>
      <c r="S16" s="13">
        <f t="shared" si="3"/>
        <v>46.949560938191773</v>
      </c>
      <c r="T16" s="11">
        <v>0</v>
      </c>
      <c r="U16" s="11">
        <v>0</v>
      </c>
      <c r="V16" s="13">
        <f t="shared" si="4"/>
        <v>0</v>
      </c>
      <c r="W16" s="11">
        <v>30.1</v>
      </c>
      <c r="X16" s="11">
        <v>0.30099999999999999</v>
      </c>
      <c r="Y16" s="13">
        <f t="shared" si="5"/>
        <v>33.273395890387349</v>
      </c>
      <c r="Z16" s="11">
        <v>69.900000000000006</v>
      </c>
      <c r="AA16" s="11">
        <v>0.69899999999999995</v>
      </c>
      <c r="AB16" s="13">
        <f t="shared" si="6"/>
        <v>56.726604109612651</v>
      </c>
      <c r="AC16" s="12">
        <v>3.1</v>
      </c>
      <c r="AD16" s="18">
        <v>3.1E-2</v>
      </c>
      <c r="AE16" s="13">
        <f t="shared" si="7"/>
        <v>10.140824906475084</v>
      </c>
      <c r="AF16" s="12">
        <v>3.04</v>
      </c>
      <c r="AG16" s="18">
        <v>3.04E-2</v>
      </c>
      <c r="AH16" s="13">
        <f t="shared" si="8"/>
        <v>10.04118101664471</v>
      </c>
      <c r="AI16" s="12">
        <v>7.53</v>
      </c>
      <c r="AJ16" s="16">
        <v>2.02</v>
      </c>
      <c r="AK16" s="12">
        <v>7.4</v>
      </c>
      <c r="AL16" s="13">
        <v>2</v>
      </c>
      <c r="AM16" s="11">
        <v>97</v>
      </c>
      <c r="AN16" s="17"/>
    </row>
    <row r="17" spans="1:40" ht="15.75" x14ac:dyDescent="0.25">
      <c r="A17" s="11" t="s">
        <v>105</v>
      </c>
      <c r="B17" s="11">
        <v>98</v>
      </c>
      <c r="C17" s="11">
        <v>2000</v>
      </c>
      <c r="D17" s="11">
        <v>4849</v>
      </c>
      <c r="E17" s="11">
        <v>113.1</v>
      </c>
      <c r="F17" s="11">
        <v>26</v>
      </c>
      <c r="G17" s="34">
        <f t="shared" si="0"/>
        <v>186.5</v>
      </c>
      <c r="H17" s="11">
        <v>140</v>
      </c>
      <c r="I17" s="11">
        <v>60</v>
      </c>
      <c r="J17" s="12">
        <f t="shared" si="1"/>
        <v>80.816666666666663</v>
      </c>
      <c r="K17" s="11">
        <v>26.67</v>
      </c>
      <c r="L17" s="11">
        <v>0.26669999999999999</v>
      </c>
      <c r="M17" s="13">
        <f t="shared" si="2"/>
        <v>31.093089730673814</v>
      </c>
      <c r="N17" s="11">
        <v>0</v>
      </c>
      <c r="O17" s="11">
        <v>0</v>
      </c>
      <c r="P17" s="13">
        <f t="shared" si="9"/>
        <v>0</v>
      </c>
      <c r="Q17" s="11">
        <v>61.5</v>
      </c>
      <c r="R17" s="11">
        <v>0.61499999999999999</v>
      </c>
      <c r="S17" s="13">
        <f t="shared" si="3"/>
        <v>51.648535873604537</v>
      </c>
      <c r="T17" s="11">
        <v>11.5</v>
      </c>
      <c r="U17" s="11">
        <v>0.115</v>
      </c>
      <c r="V17" s="13">
        <f t="shared" si="4"/>
        <v>19.823055573486858</v>
      </c>
      <c r="W17" s="11">
        <v>11.5</v>
      </c>
      <c r="X17" s="11">
        <v>0.115</v>
      </c>
      <c r="Y17" s="13">
        <f t="shared" si="5"/>
        <v>19.823055573486858</v>
      </c>
      <c r="Z17" s="11">
        <v>88.5</v>
      </c>
      <c r="AA17" s="11">
        <v>0.88500000000000001</v>
      </c>
      <c r="AB17" s="13">
        <f t="shared" si="6"/>
        <v>70.176944426513131</v>
      </c>
      <c r="AC17" s="12">
        <v>8</v>
      </c>
      <c r="AD17" s="18">
        <v>0.08</v>
      </c>
      <c r="AE17" s="13">
        <f t="shared" si="7"/>
        <v>16.429940189444554</v>
      </c>
      <c r="AF17" s="12">
        <v>7.82</v>
      </c>
      <c r="AG17" s="18">
        <v>7.8200000000000006E-2</v>
      </c>
      <c r="AH17" s="13">
        <f t="shared" si="8"/>
        <v>16.238876860072843</v>
      </c>
      <c r="AI17" s="12">
        <v>6.47</v>
      </c>
      <c r="AJ17" s="16">
        <v>1.87</v>
      </c>
      <c r="AK17" s="12">
        <v>6.32</v>
      </c>
      <c r="AL17" s="13">
        <v>1.84</v>
      </c>
      <c r="AM17" s="11">
        <v>98</v>
      </c>
      <c r="AN17" s="17"/>
    </row>
    <row r="18" spans="1:40" ht="15.75" x14ac:dyDescent="0.25">
      <c r="A18" s="11" t="s">
        <v>105</v>
      </c>
      <c r="B18" s="11">
        <v>99</v>
      </c>
      <c r="C18" s="11">
        <v>2001</v>
      </c>
      <c r="D18" s="11">
        <v>8721</v>
      </c>
      <c r="E18" s="11">
        <v>110</v>
      </c>
      <c r="F18" s="11">
        <v>41</v>
      </c>
      <c r="G18" s="34">
        <f t="shared" si="0"/>
        <v>212.70731707317074</v>
      </c>
      <c r="H18" s="11">
        <v>244</v>
      </c>
      <c r="I18" s="11">
        <v>160</v>
      </c>
      <c r="J18" s="12">
        <f t="shared" si="1"/>
        <v>54.506250000000001</v>
      </c>
      <c r="K18" s="11">
        <v>97.5</v>
      </c>
      <c r="L18" s="11">
        <v>0.97499999999999998</v>
      </c>
      <c r="M18" s="13">
        <f t="shared" si="2"/>
        <v>80.9025638306166</v>
      </c>
      <c r="N18" s="11">
        <v>8.1999999999999993</v>
      </c>
      <c r="O18" s="11">
        <v>8.2000000000000003E-2</v>
      </c>
      <c r="P18" s="13">
        <f t="shared" si="9"/>
        <v>16.639945472341136</v>
      </c>
      <c r="Q18" s="11">
        <v>85.4</v>
      </c>
      <c r="R18" s="11">
        <v>0.85399999999999998</v>
      </c>
      <c r="S18" s="13">
        <f t="shared" si="3"/>
        <v>67.536210971221763</v>
      </c>
      <c r="T18" s="11">
        <v>0</v>
      </c>
      <c r="U18" s="11">
        <v>0</v>
      </c>
      <c r="V18" s="13">
        <f t="shared" si="4"/>
        <v>0</v>
      </c>
      <c r="W18" s="11">
        <v>7.3</v>
      </c>
      <c r="X18" s="11">
        <v>7.2999999999999995E-2</v>
      </c>
      <c r="Y18" s="13">
        <f t="shared" si="5"/>
        <v>15.675282965684847</v>
      </c>
      <c r="Z18" s="11">
        <v>92.7</v>
      </c>
      <c r="AA18" s="11">
        <v>0.92700000000000005</v>
      </c>
      <c r="AB18" s="13">
        <f t="shared" si="6"/>
        <v>74.324717034315157</v>
      </c>
      <c r="AC18" s="12">
        <v>1.62</v>
      </c>
      <c r="AD18" s="18">
        <v>1.6199999999999999E-2</v>
      </c>
      <c r="AE18" s="13">
        <f t="shared" si="7"/>
        <v>7.312397017783228</v>
      </c>
      <c r="AF18" s="12">
        <v>1.51</v>
      </c>
      <c r="AG18" s="18">
        <v>1.5100000000000001E-2</v>
      </c>
      <c r="AH18" s="13">
        <f t="shared" si="8"/>
        <v>7.0584636549310282</v>
      </c>
      <c r="AI18" s="12">
        <v>0.88</v>
      </c>
      <c r="AJ18" s="16">
        <v>-0.13</v>
      </c>
      <c r="AK18" s="12">
        <v>0.83</v>
      </c>
      <c r="AL18" s="13">
        <v>-0.19</v>
      </c>
      <c r="AM18" s="11">
        <v>99</v>
      </c>
      <c r="AN18" s="17"/>
    </row>
    <row r="19" spans="1:40" ht="15.75" x14ac:dyDescent="0.25">
      <c r="A19" s="11" t="s">
        <v>105</v>
      </c>
      <c r="B19" s="14" t="s">
        <v>11</v>
      </c>
      <c r="C19" s="14">
        <v>2002</v>
      </c>
      <c r="D19" s="14">
        <v>29442</v>
      </c>
      <c r="E19" s="14">
        <v>105.2</v>
      </c>
      <c r="F19" s="14">
        <v>92</v>
      </c>
      <c r="G19" s="34">
        <f t="shared" si="0"/>
        <v>320.02173913043481</v>
      </c>
      <c r="H19" s="11">
        <v>337</v>
      </c>
      <c r="I19" s="11">
        <v>201</v>
      </c>
      <c r="J19" s="12">
        <f t="shared" si="1"/>
        <v>146.47761194029852</v>
      </c>
      <c r="K19" s="11">
        <v>69.150000000000006</v>
      </c>
      <c r="L19" s="11">
        <v>0.6915</v>
      </c>
      <c r="M19" s="13">
        <f t="shared" si="2"/>
        <v>56.259816906033983</v>
      </c>
      <c r="N19" s="11">
        <v>13.6</v>
      </c>
      <c r="O19" s="11">
        <v>0.13600000000000001</v>
      </c>
      <c r="P19" s="13">
        <f t="shared" si="9"/>
        <v>21.640506001208557</v>
      </c>
      <c r="Q19" s="11">
        <v>78.3</v>
      </c>
      <c r="R19" s="11">
        <v>0.78300000000000003</v>
      </c>
      <c r="S19" s="13">
        <f t="shared" si="3"/>
        <v>62.235880972362537</v>
      </c>
      <c r="T19" s="11">
        <v>0</v>
      </c>
      <c r="U19" s="11">
        <v>0</v>
      </c>
      <c r="V19" s="13">
        <f t="shared" si="4"/>
        <v>0</v>
      </c>
      <c r="W19" s="11">
        <v>48.9</v>
      </c>
      <c r="X19" s="11">
        <v>0.48899999999999999</v>
      </c>
      <c r="Y19" s="13">
        <f t="shared" si="5"/>
        <v>44.369695573824828</v>
      </c>
      <c r="Z19" s="11">
        <v>51.1</v>
      </c>
      <c r="AA19" s="11">
        <v>0.51100000000000001</v>
      </c>
      <c r="AB19" s="13">
        <f t="shared" si="6"/>
        <v>45.630304426175179</v>
      </c>
      <c r="AC19" s="12">
        <v>1.52</v>
      </c>
      <c r="AD19" s="18">
        <v>1.52E-2</v>
      </c>
      <c r="AE19" s="13">
        <f t="shared" si="7"/>
        <v>7.0819168416468061</v>
      </c>
      <c r="AF19" s="12">
        <v>1.51</v>
      </c>
      <c r="AG19" s="18">
        <v>1.5100000000000001E-2</v>
      </c>
      <c r="AH19" s="13">
        <f t="shared" si="8"/>
        <v>7.0584636549310282</v>
      </c>
      <c r="AI19" s="12">
        <v>2.23</v>
      </c>
      <c r="AJ19" s="13">
        <v>0.8</v>
      </c>
      <c r="AK19" s="12">
        <v>2.21</v>
      </c>
      <c r="AL19" s="13">
        <v>0.79</v>
      </c>
      <c r="AM19" s="14" t="s">
        <v>11</v>
      </c>
      <c r="AN19" s="17"/>
    </row>
    <row r="20" spans="1:40" ht="15.75" x14ac:dyDescent="0.25">
      <c r="A20" s="11" t="s">
        <v>105</v>
      </c>
      <c r="B20" s="14" t="s">
        <v>12</v>
      </c>
      <c r="C20" s="14">
        <v>2003</v>
      </c>
      <c r="D20" s="14">
        <v>42416</v>
      </c>
      <c r="E20" s="14">
        <v>104.9</v>
      </c>
      <c r="F20" s="14">
        <v>297</v>
      </c>
      <c r="G20" s="34">
        <f t="shared" si="0"/>
        <v>142.81481481481481</v>
      </c>
      <c r="H20" s="11">
        <v>997</v>
      </c>
      <c r="I20" s="11">
        <v>766</v>
      </c>
      <c r="J20" s="12">
        <f t="shared" si="1"/>
        <v>55.373368146214098</v>
      </c>
      <c r="K20" s="11">
        <v>19.84</v>
      </c>
      <c r="L20" s="11">
        <v>0.19839999999999999</v>
      </c>
      <c r="M20" s="13">
        <f t="shared" si="2"/>
        <v>26.450286905454565</v>
      </c>
      <c r="N20" s="11">
        <v>1.3</v>
      </c>
      <c r="O20" s="11">
        <v>1.2999999999999999E-2</v>
      </c>
      <c r="P20" s="13">
        <f t="shared" si="9"/>
        <v>6.5469616602852474</v>
      </c>
      <c r="Q20" s="11">
        <v>72.7</v>
      </c>
      <c r="R20" s="11">
        <v>0.72699999999999998</v>
      </c>
      <c r="S20" s="13">
        <f t="shared" si="3"/>
        <v>58.500305455848007</v>
      </c>
      <c r="T20" s="11">
        <v>0.3</v>
      </c>
      <c r="U20" s="11">
        <v>3.0000000000000001E-3</v>
      </c>
      <c r="V20" s="13">
        <f t="shared" si="4"/>
        <v>3.1397903205485127</v>
      </c>
      <c r="W20" s="11">
        <v>55.9</v>
      </c>
      <c r="X20" s="11">
        <v>0.55900000000000005</v>
      </c>
      <c r="Y20" s="13">
        <f t="shared" si="5"/>
        <v>48.388345457077946</v>
      </c>
      <c r="Z20" s="11">
        <v>44.1</v>
      </c>
      <c r="AA20" s="11">
        <v>0.441</v>
      </c>
      <c r="AB20" s="13">
        <f t="shared" si="6"/>
        <v>41.611654542922061</v>
      </c>
      <c r="AC20" s="12">
        <v>0.61</v>
      </c>
      <c r="AD20" s="18">
        <v>6.1000000000000004E-3</v>
      </c>
      <c r="AE20" s="13">
        <f t="shared" si="7"/>
        <v>4.4795054935354379</v>
      </c>
      <c r="AF20" s="12">
        <v>0.61</v>
      </c>
      <c r="AG20" s="18">
        <v>6.1000000000000004E-3</v>
      </c>
      <c r="AH20" s="13">
        <f t="shared" si="8"/>
        <v>4.4795054935354379</v>
      </c>
      <c r="AI20" s="12">
        <v>0.34</v>
      </c>
      <c r="AJ20" s="16">
        <v>-1.0900000000000001</v>
      </c>
      <c r="AK20" s="12">
        <v>0.34</v>
      </c>
      <c r="AL20" s="13">
        <v>-1.0900000000000001</v>
      </c>
      <c r="AM20" s="14" t="s">
        <v>12</v>
      </c>
      <c r="AN20" s="17"/>
    </row>
    <row r="21" spans="1:40" ht="15.75" x14ac:dyDescent="0.25">
      <c r="A21" s="11" t="s">
        <v>105</v>
      </c>
      <c r="B21" s="14" t="s">
        <v>13</v>
      </c>
      <c r="C21" s="14">
        <v>2004</v>
      </c>
      <c r="D21" s="14">
        <v>64036</v>
      </c>
      <c r="E21" s="14">
        <v>106.7</v>
      </c>
      <c r="F21" s="14">
        <v>299</v>
      </c>
      <c r="G21" s="34">
        <f t="shared" si="0"/>
        <v>214.16722408026754</v>
      </c>
      <c r="H21" s="11">
        <v>1004</v>
      </c>
      <c r="I21" s="11">
        <v>568</v>
      </c>
      <c r="J21" s="12">
        <f t="shared" si="1"/>
        <v>112.7394366197183</v>
      </c>
      <c r="K21" s="11">
        <v>60.56</v>
      </c>
      <c r="L21" s="11">
        <v>0.60560000000000003</v>
      </c>
      <c r="M21" s="13">
        <f t="shared" si="2"/>
        <v>51.096342288087207</v>
      </c>
      <c r="N21" s="11">
        <v>9.6999999999999993</v>
      </c>
      <c r="O21" s="11">
        <v>9.7000000000000003E-2</v>
      </c>
      <c r="P21" s="13">
        <f t="shared" si="9"/>
        <v>18.146529246714792</v>
      </c>
      <c r="Q21" s="11">
        <v>81.3</v>
      </c>
      <c r="R21" s="11">
        <v>0.81299999999999994</v>
      </c>
      <c r="S21" s="13">
        <f t="shared" si="3"/>
        <v>64.377811245539931</v>
      </c>
      <c r="T21" s="11">
        <v>3.7</v>
      </c>
      <c r="U21" s="11">
        <v>3.6999999999999998E-2</v>
      </c>
      <c r="V21" s="13">
        <f t="shared" si="4"/>
        <v>11.090183618475617</v>
      </c>
      <c r="W21" s="11">
        <v>66.900000000000006</v>
      </c>
      <c r="X21" s="11">
        <v>0.66900000000000004</v>
      </c>
      <c r="Y21" s="13">
        <f t="shared" si="5"/>
        <v>54.877535010799768</v>
      </c>
      <c r="Z21" s="11">
        <v>33.1</v>
      </c>
      <c r="AA21" s="11">
        <v>0.33100000000000002</v>
      </c>
      <c r="AB21" s="13">
        <f t="shared" si="6"/>
        <v>35.122464989200232</v>
      </c>
      <c r="AC21" s="12">
        <v>0.33</v>
      </c>
      <c r="AD21" s="18">
        <v>3.3E-3</v>
      </c>
      <c r="AE21" s="13">
        <f t="shared" si="7"/>
        <v>3.2932049070594305</v>
      </c>
      <c r="AF21" s="12">
        <v>0.33</v>
      </c>
      <c r="AG21" s="18">
        <v>3.3E-3</v>
      </c>
      <c r="AH21" s="13">
        <f t="shared" si="8"/>
        <v>3.2932049070594305</v>
      </c>
      <c r="AI21" s="12">
        <v>0.37</v>
      </c>
      <c r="AJ21" s="16">
        <v>-0.99</v>
      </c>
      <c r="AK21" s="12">
        <v>0.37</v>
      </c>
      <c r="AL21" s="13">
        <v>-1</v>
      </c>
      <c r="AM21" s="14" t="s">
        <v>13</v>
      </c>
      <c r="AN21" s="17"/>
    </row>
    <row r="22" spans="1:40" ht="15.75" x14ac:dyDescent="0.25">
      <c r="A22" s="11" t="s">
        <v>105</v>
      </c>
      <c r="B22" s="14" t="s">
        <v>14</v>
      </c>
      <c r="C22" s="14">
        <v>2005</v>
      </c>
      <c r="D22" s="14">
        <v>27724</v>
      </c>
      <c r="E22" s="14">
        <v>106.7</v>
      </c>
      <c r="F22" s="14">
        <v>118</v>
      </c>
      <c r="G22" s="34">
        <f t="shared" si="0"/>
        <v>234.94915254237287</v>
      </c>
      <c r="H22" s="11">
        <v>443</v>
      </c>
      <c r="I22" s="11">
        <v>329</v>
      </c>
      <c r="J22" s="12">
        <f t="shared" si="1"/>
        <v>84.267477203647417</v>
      </c>
      <c r="K22" s="11">
        <v>25.84</v>
      </c>
      <c r="L22" s="11">
        <v>0.25840000000000002</v>
      </c>
      <c r="M22" s="13">
        <f t="shared" si="2"/>
        <v>30.55269576326673</v>
      </c>
      <c r="N22" s="11">
        <v>0.2</v>
      </c>
      <c r="O22" s="11">
        <v>2E-3</v>
      </c>
      <c r="P22" s="13">
        <f t="shared" si="9"/>
        <v>2.563200040973856</v>
      </c>
      <c r="Q22" s="11">
        <v>78</v>
      </c>
      <c r="R22" s="11">
        <v>0.78</v>
      </c>
      <c r="S22" s="13">
        <f t="shared" si="3"/>
        <v>62.027898871283952</v>
      </c>
      <c r="T22" s="11">
        <v>0</v>
      </c>
      <c r="U22" s="11">
        <v>0</v>
      </c>
      <c r="V22" s="13">
        <f t="shared" si="4"/>
        <v>0</v>
      </c>
      <c r="W22" s="11">
        <v>51.7</v>
      </c>
      <c r="X22" s="11">
        <v>0.51700000000000002</v>
      </c>
      <c r="Y22" s="13">
        <f t="shared" si="5"/>
        <v>45.974216012188307</v>
      </c>
      <c r="Z22" s="11">
        <v>48.3</v>
      </c>
      <c r="AA22" s="11">
        <v>0.48299999999999998</v>
      </c>
      <c r="AB22" s="13">
        <f t="shared" si="6"/>
        <v>44.0257839878117</v>
      </c>
      <c r="AC22" s="12">
        <v>0.62</v>
      </c>
      <c r="AD22" s="18">
        <v>6.1999999999999998E-3</v>
      </c>
      <c r="AE22" s="13">
        <f t="shared" si="7"/>
        <v>4.5161491017839248</v>
      </c>
      <c r="AF22" s="12">
        <v>0.6</v>
      </c>
      <c r="AG22" s="18">
        <v>6.0000000000000001E-3</v>
      </c>
      <c r="AH22" s="13">
        <f t="shared" si="8"/>
        <v>4.4425621351140405</v>
      </c>
      <c r="AI22" s="12">
        <v>0.53</v>
      </c>
      <c r="AJ22" s="16">
        <v>-0.64</v>
      </c>
      <c r="AK22" s="12">
        <v>0.5</v>
      </c>
      <c r="AL22" s="13">
        <v>-0.68</v>
      </c>
      <c r="AM22" s="14" t="s">
        <v>14</v>
      </c>
      <c r="AN22" s="17"/>
    </row>
    <row r="23" spans="1:40" ht="15.75" x14ac:dyDescent="0.25">
      <c r="A23" s="11" t="s">
        <v>105</v>
      </c>
      <c r="B23" s="14" t="s">
        <v>15</v>
      </c>
      <c r="C23" s="14">
        <v>2006</v>
      </c>
      <c r="D23" s="14">
        <v>21057</v>
      </c>
      <c r="E23" s="14">
        <v>110.4</v>
      </c>
      <c r="F23" s="14">
        <v>160</v>
      </c>
      <c r="G23" s="34">
        <f t="shared" si="0"/>
        <v>131.60624999999999</v>
      </c>
      <c r="H23" s="11">
        <v>572</v>
      </c>
      <c r="I23" s="11">
        <v>346</v>
      </c>
      <c r="J23" s="12">
        <f t="shared" si="1"/>
        <v>60.858381502890175</v>
      </c>
      <c r="K23" s="11">
        <v>17.34</v>
      </c>
      <c r="L23" s="11">
        <v>0.1734</v>
      </c>
      <c r="M23" s="13">
        <f t="shared" si="2"/>
        <v>24.608347536962764</v>
      </c>
      <c r="N23" s="11">
        <v>3</v>
      </c>
      <c r="O23" s="11">
        <v>0.03</v>
      </c>
      <c r="P23" s="13">
        <f t="shared" si="9"/>
        <v>9.9742217944013483</v>
      </c>
      <c r="Q23" s="11">
        <v>89.4</v>
      </c>
      <c r="R23" s="11">
        <v>0.89400000000000002</v>
      </c>
      <c r="S23" s="13">
        <f t="shared" si="3"/>
        <v>70.9994996199882</v>
      </c>
      <c r="T23" s="11">
        <v>0</v>
      </c>
      <c r="U23" s="11">
        <v>0</v>
      </c>
      <c r="V23" s="13">
        <f t="shared" si="4"/>
        <v>0</v>
      </c>
      <c r="W23" s="11">
        <v>70</v>
      </c>
      <c r="X23" s="11">
        <v>0.7</v>
      </c>
      <c r="Y23" s="13">
        <f t="shared" si="5"/>
        <v>56.789089239100917</v>
      </c>
      <c r="Z23" s="11">
        <v>30</v>
      </c>
      <c r="AA23" s="11">
        <v>0.3</v>
      </c>
      <c r="AB23" s="13">
        <f t="shared" si="6"/>
        <v>33.210910760899083</v>
      </c>
      <c r="AC23" s="12">
        <v>1.89</v>
      </c>
      <c r="AD23" s="18">
        <v>1.89E-2</v>
      </c>
      <c r="AE23" s="13">
        <f t="shared" si="7"/>
        <v>7.9018929631202992</v>
      </c>
      <c r="AF23" s="12">
        <v>1.86</v>
      </c>
      <c r="AG23" s="18">
        <v>1.8599999999999998E-2</v>
      </c>
      <c r="AH23" s="13">
        <f t="shared" si="8"/>
        <v>7.8385312585818987</v>
      </c>
      <c r="AI23" s="12">
        <v>1.1499999999999999</v>
      </c>
      <c r="AJ23" s="16">
        <v>0.14000000000000001</v>
      </c>
      <c r="AK23" s="12">
        <v>1.1299999999999999</v>
      </c>
      <c r="AL23" s="13">
        <v>0.12</v>
      </c>
      <c r="AM23" s="14" t="s">
        <v>15</v>
      </c>
      <c r="AN23" s="17"/>
    </row>
    <row r="24" spans="1:40" ht="15.75" x14ac:dyDescent="0.25">
      <c r="A24" s="11" t="s">
        <v>105</v>
      </c>
      <c r="B24" s="14" t="s">
        <v>16</v>
      </c>
      <c r="C24" s="14">
        <v>2007</v>
      </c>
      <c r="D24" s="14">
        <v>17579</v>
      </c>
      <c r="E24" s="14">
        <v>109.5</v>
      </c>
      <c r="F24" s="14">
        <v>107</v>
      </c>
      <c r="G24" s="34">
        <f t="shared" si="0"/>
        <v>164.28971962616822</v>
      </c>
      <c r="H24" s="11">
        <v>435</v>
      </c>
      <c r="I24" s="11">
        <v>264</v>
      </c>
      <c r="J24" s="12">
        <f t="shared" si="1"/>
        <v>66.587121212121218</v>
      </c>
      <c r="K24" s="11">
        <v>19.7</v>
      </c>
      <c r="L24" s="11">
        <v>0.19700000000000001</v>
      </c>
      <c r="M24" s="13">
        <f t="shared" si="2"/>
        <v>26.349582249109631</v>
      </c>
      <c r="N24" s="11">
        <v>1.4</v>
      </c>
      <c r="O24" s="11">
        <v>1.4E-2</v>
      </c>
      <c r="P24" s="13">
        <f t="shared" si="9"/>
        <v>6.7952469834029543</v>
      </c>
      <c r="Q24" s="11">
        <v>70.099999999999994</v>
      </c>
      <c r="R24" s="11">
        <v>0.70099999999999996</v>
      </c>
      <c r="S24" s="13">
        <f t="shared" si="3"/>
        <v>56.851633906793722</v>
      </c>
      <c r="T24" s="11">
        <v>4.7</v>
      </c>
      <c r="U24" s="11">
        <v>4.7E-2</v>
      </c>
      <c r="V24" s="13">
        <f t="shared" si="4"/>
        <v>12.520847596497621</v>
      </c>
      <c r="W24" s="11">
        <v>43</v>
      </c>
      <c r="X24" s="11">
        <v>0.43</v>
      </c>
      <c r="Y24" s="13">
        <f t="shared" si="5"/>
        <v>40.976076876344244</v>
      </c>
      <c r="Z24" s="11">
        <v>57</v>
      </c>
      <c r="AA24" s="11">
        <v>0.56999999999999995</v>
      </c>
      <c r="AB24" s="13">
        <f t="shared" si="6"/>
        <v>49.023923123655763</v>
      </c>
      <c r="AC24" s="12">
        <v>4.2</v>
      </c>
      <c r="AD24" s="18">
        <v>4.2000000000000003E-2</v>
      </c>
      <c r="AE24" s="13">
        <f t="shared" si="7"/>
        <v>11.825929087724768</v>
      </c>
      <c r="AF24" s="12">
        <v>3.46</v>
      </c>
      <c r="AG24" s="18">
        <v>3.4599999999999999E-2</v>
      </c>
      <c r="AH24" s="13">
        <f t="shared" si="8"/>
        <v>10.720067161893352</v>
      </c>
      <c r="AI24" s="12">
        <v>2.8</v>
      </c>
      <c r="AJ24" s="16">
        <v>1.03</v>
      </c>
      <c r="AK24" s="12">
        <v>2.2999999999999998</v>
      </c>
      <c r="AL24" s="13">
        <v>0.83</v>
      </c>
      <c r="AM24" s="14" t="s">
        <v>16</v>
      </c>
      <c r="AN24" s="17"/>
    </row>
    <row r="25" spans="1:40" ht="15.75" x14ac:dyDescent="0.25">
      <c r="A25" s="11" t="s">
        <v>105</v>
      </c>
      <c r="B25" s="14" t="s">
        <v>17</v>
      </c>
      <c r="C25" s="14">
        <v>2008</v>
      </c>
      <c r="D25" s="14">
        <v>30228</v>
      </c>
      <c r="E25" s="14">
        <v>105.9</v>
      </c>
      <c r="F25" s="14">
        <v>109</v>
      </c>
      <c r="G25" s="34">
        <f t="shared" si="0"/>
        <v>277.32110091743118</v>
      </c>
      <c r="H25" s="11">
        <v>266</v>
      </c>
      <c r="I25" s="11">
        <v>202</v>
      </c>
      <c r="J25" s="12">
        <f t="shared" si="1"/>
        <v>149.64356435643563</v>
      </c>
      <c r="K25" s="11">
        <v>24.26</v>
      </c>
      <c r="L25" s="11">
        <v>0.24260000000000001</v>
      </c>
      <c r="M25" s="13">
        <f t="shared" si="2"/>
        <v>29.50795617709829</v>
      </c>
      <c r="N25" s="11">
        <v>3.2</v>
      </c>
      <c r="O25" s="11">
        <v>3.2000000000000001E-2</v>
      </c>
      <c r="P25" s="13">
        <f t="shared" si="9"/>
        <v>10.304846468766033</v>
      </c>
      <c r="Q25" s="11">
        <v>76.2</v>
      </c>
      <c r="R25" s="11">
        <v>0.76200000000000001</v>
      </c>
      <c r="S25" s="13">
        <f t="shared" si="3"/>
        <v>60.800474056008383</v>
      </c>
      <c r="T25" s="11">
        <v>8.3000000000000007</v>
      </c>
      <c r="U25" s="11">
        <v>8.3000000000000004E-2</v>
      </c>
      <c r="V25" s="13">
        <f t="shared" si="4"/>
        <v>16.744072750585762</v>
      </c>
      <c r="W25" s="11">
        <v>53.2</v>
      </c>
      <c r="X25" s="11">
        <v>0.53200000000000003</v>
      </c>
      <c r="Y25" s="13">
        <f t="shared" si="5"/>
        <v>46.834718902493989</v>
      </c>
      <c r="Z25" s="11">
        <v>46.8</v>
      </c>
      <c r="AA25" s="11">
        <v>0.46800000000000003</v>
      </c>
      <c r="AB25" s="13">
        <f t="shared" si="6"/>
        <v>43.165281097506018</v>
      </c>
      <c r="AC25" s="12">
        <v>5.69</v>
      </c>
      <c r="AD25" s="18">
        <v>5.6899999999999999E-2</v>
      </c>
      <c r="AE25" s="13">
        <f t="shared" si="7"/>
        <v>13.800221319967925</v>
      </c>
      <c r="AF25" s="12">
        <v>5.31</v>
      </c>
      <c r="AG25" s="18">
        <v>5.3100000000000001E-2</v>
      </c>
      <c r="AH25" s="13">
        <f t="shared" si="8"/>
        <v>13.322646408741813</v>
      </c>
      <c r="AI25" s="12">
        <v>8.51</v>
      </c>
      <c r="AJ25" s="16">
        <v>2.14</v>
      </c>
      <c r="AK25" s="12">
        <v>7.94</v>
      </c>
      <c r="AL25" s="13">
        <v>2.0699999999999998</v>
      </c>
      <c r="AM25" s="14" t="s">
        <v>17</v>
      </c>
      <c r="AN25" s="17"/>
    </row>
    <row r="26" spans="1:40" ht="15.75" x14ac:dyDescent="0.25">
      <c r="A26" s="11" t="s">
        <v>105</v>
      </c>
      <c r="B26" s="14" t="s">
        <v>18</v>
      </c>
      <c r="C26" s="14">
        <v>2009</v>
      </c>
      <c r="D26" s="14">
        <v>8529</v>
      </c>
      <c r="E26" s="14">
        <v>112.9</v>
      </c>
      <c r="F26" s="14">
        <v>81</v>
      </c>
      <c r="G26" s="34">
        <f t="shared" si="0"/>
        <v>105.29629629629629</v>
      </c>
      <c r="H26" s="11">
        <v>344</v>
      </c>
      <c r="I26" s="11">
        <v>211</v>
      </c>
      <c r="J26" s="12">
        <f t="shared" si="1"/>
        <v>40.421800947867297</v>
      </c>
      <c r="K26" s="11">
        <v>22.27</v>
      </c>
      <c r="L26" s="11">
        <v>0.22270000000000001</v>
      </c>
      <c r="M26" s="13">
        <f t="shared" si="2"/>
        <v>28.158415902530319</v>
      </c>
      <c r="N26" s="11">
        <v>8.1</v>
      </c>
      <c r="O26" s="11">
        <v>8.1000000000000003E-2</v>
      </c>
      <c r="P26" s="13">
        <f t="shared" si="9"/>
        <v>16.535238358083451</v>
      </c>
      <c r="Q26" s="11">
        <v>80.2</v>
      </c>
      <c r="R26" s="11">
        <v>0.80200000000000005</v>
      </c>
      <c r="S26" s="13">
        <f t="shared" si="3"/>
        <v>63.578458459481183</v>
      </c>
      <c r="T26" s="11">
        <v>0</v>
      </c>
      <c r="U26" s="11">
        <v>0</v>
      </c>
      <c r="V26" s="13">
        <f t="shared" si="4"/>
        <v>0</v>
      </c>
      <c r="W26" s="11">
        <v>39.5</v>
      </c>
      <c r="X26" s="11">
        <v>0.39500000000000002</v>
      </c>
      <c r="Y26" s="13">
        <f t="shared" si="5"/>
        <v>38.938823877605451</v>
      </c>
      <c r="Z26" s="11">
        <v>60.5</v>
      </c>
      <c r="AA26" s="11">
        <v>0.60499999999999998</v>
      </c>
      <c r="AB26" s="13">
        <f t="shared" si="6"/>
        <v>51.061176122394563</v>
      </c>
      <c r="AC26" s="12">
        <v>7.15</v>
      </c>
      <c r="AD26" s="18">
        <v>7.1499999999999994E-2</v>
      </c>
      <c r="AE26" s="13">
        <f t="shared" si="7"/>
        <v>15.50930322934345</v>
      </c>
      <c r="AF26" s="12">
        <v>6.67</v>
      </c>
      <c r="AG26" s="18">
        <v>6.6699999999999995E-2</v>
      </c>
      <c r="AH26" s="13">
        <f t="shared" si="8"/>
        <v>14.967045224370146</v>
      </c>
      <c r="AI26" s="12">
        <v>2.89</v>
      </c>
      <c r="AJ26" s="16">
        <v>1.06</v>
      </c>
      <c r="AK26" s="12">
        <v>2.7</v>
      </c>
      <c r="AL26" s="13">
        <v>0.99</v>
      </c>
      <c r="AM26" s="14" t="s">
        <v>18</v>
      </c>
      <c r="AN26" s="17"/>
    </row>
    <row r="27" spans="1:40" ht="15.75" x14ac:dyDescent="0.25">
      <c r="A27" s="11" t="s">
        <v>105</v>
      </c>
      <c r="B27" s="14" t="s">
        <v>19</v>
      </c>
      <c r="C27" s="14">
        <v>2010</v>
      </c>
      <c r="D27" s="14">
        <v>14778</v>
      </c>
      <c r="E27" s="14">
        <v>109.5</v>
      </c>
      <c r="F27" s="14">
        <v>199</v>
      </c>
      <c r="G27" s="34">
        <f t="shared" si="0"/>
        <v>74.261306532663312</v>
      </c>
      <c r="H27" s="11">
        <v>1191</v>
      </c>
      <c r="I27" s="11">
        <v>796</v>
      </c>
      <c r="J27" s="12">
        <f t="shared" si="1"/>
        <v>18.565326633165828</v>
      </c>
      <c r="K27" s="11">
        <v>38.94</v>
      </c>
      <c r="L27" s="11">
        <v>0.38940000000000002</v>
      </c>
      <c r="M27" s="13">
        <f t="shared" si="2"/>
        <v>38.610237730531054</v>
      </c>
      <c r="N27" s="11">
        <v>2</v>
      </c>
      <c r="O27" s="11">
        <v>0.02</v>
      </c>
      <c r="P27" s="13">
        <f t="shared" si="9"/>
        <v>8.1301023541559783</v>
      </c>
      <c r="Q27" s="11">
        <v>88.4</v>
      </c>
      <c r="R27" s="11">
        <v>0.88400000000000001</v>
      </c>
      <c r="S27" s="13">
        <f t="shared" si="3"/>
        <v>70.087314369608976</v>
      </c>
      <c r="T27" s="11">
        <v>0.5</v>
      </c>
      <c r="U27" s="11">
        <v>5.0000000000000001E-3</v>
      </c>
      <c r="V27" s="13">
        <f t="shared" si="4"/>
        <v>4.0548072279970899</v>
      </c>
      <c r="W27" s="11">
        <v>70.900000000000006</v>
      </c>
      <c r="X27" s="11">
        <v>0.70899999999999996</v>
      </c>
      <c r="Y27" s="13">
        <f t="shared" si="5"/>
        <v>57.354191688465654</v>
      </c>
      <c r="Z27" s="11">
        <v>29.1</v>
      </c>
      <c r="AA27" s="11">
        <v>0.29099999999999998</v>
      </c>
      <c r="AB27" s="13">
        <f t="shared" si="6"/>
        <v>32.645808311534353</v>
      </c>
      <c r="AC27" s="12">
        <v>5.98</v>
      </c>
      <c r="AD27" s="18">
        <v>5.9799999999999999E-2</v>
      </c>
      <c r="AE27" s="13">
        <f t="shared" si="7"/>
        <v>14.154673558879853</v>
      </c>
      <c r="AF27" s="12">
        <v>5.41</v>
      </c>
      <c r="AG27" s="18">
        <v>5.4100000000000002E-2</v>
      </c>
      <c r="AH27" s="13">
        <f t="shared" si="8"/>
        <v>13.449843575267598</v>
      </c>
      <c r="AI27" s="12">
        <v>1.1100000000000001</v>
      </c>
      <c r="AJ27" s="16">
        <v>0.1</v>
      </c>
      <c r="AK27" s="12">
        <v>1</v>
      </c>
      <c r="AL27" s="13">
        <v>0</v>
      </c>
      <c r="AM27" s="14" t="s">
        <v>19</v>
      </c>
      <c r="AN27" s="17"/>
    </row>
    <row r="28" spans="1:40" ht="15.75" x14ac:dyDescent="0.25">
      <c r="A28" s="11" t="s">
        <v>105</v>
      </c>
      <c r="B28" s="14" t="s">
        <v>20</v>
      </c>
      <c r="C28" s="14">
        <v>2011</v>
      </c>
      <c r="D28" s="14">
        <v>45538</v>
      </c>
      <c r="E28" s="14">
        <v>100.2</v>
      </c>
      <c r="F28" s="14">
        <v>451</v>
      </c>
      <c r="G28" s="34">
        <f t="shared" si="0"/>
        <v>100.97117516629712</v>
      </c>
      <c r="H28" s="11">
        <v>1860</v>
      </c>
      <c r="I28" s="11">
        <v>1191</v>
      </c>
      <c r="J28" s="12">
        <f t="shared" si="1"/>
        <v>38.235096557514694</v>
      </c>
      <c r="K28" s="11">
        <v>49.29</v>
      </c>
      <c r="L28" s="11">
        <v>0.4929</v>
      </c>
      <c r="M28" s="13">
        <f t="shared" si="2"/>
        <v>44.593186293023301</v>
      </c>
      <c r="N28" s="11">
        <v>0.9</v>
      </c>
      <c r="O28" s="11">
        <v>8.9999999999999993E-3</v>
      </c>
      <c r="P28" s="13">
        <f t="shared" si="9"/>
        <v>5.4437414386305143</v>
      </c>
      <c r="Q28" s="11">
        <v>87.8</v>
      </c>
      <c r="R28" s="11">
        <v>0.878</v>
      </c>
      <c r="S28" s="13">
        <f t="shared" si="3"/>
        <v>69.556412219146097</v>
      </c>
      <c r="T28" s="11">
        <v>0.7</v>
      </c>
      <c r="U28" s="11">
        <v>7.0000000000000001E-3</v>
      </c>
      <c r="V28" s="13">
        <f t="shared" si="4"/>
        <v>4.799319191719988</v>
      </c>
      <c r="W28" s="11">
        <v>64.7</v>
      </c>
      <c r="X28" s="11">
        <v>0.64700000000000002</v>
      </c>
      <c r="Y28" s="13">
        <f t="shared" si="5"/>
        <v>53.548791343633127</v>
      </c>
      <c r="Z28" s="11">
        <v>35.299999999999997</v>
      </c>
      <c r="AA28" s="11">
        <v>0.35299999999999998</v>
      </c>
      <c r="AB28" s="13">
        <f t="shared" si="6"/>
        <v>36.451208656366873</v>
      </c>
      <c r="AC28" s="12">
        <v>1.36</v>
      </c>
      <c r="AD28" s="18">
        <v>1.3599999999999999E-2</v>
      </c>
      <c r="AE28" s="13">
        <f t="shared" si="7"/>
        <v>6.6970174943759719</v>
      </c>
      <c r="AF28" s="12">
        <v>1.34</v>
      </c>
      <c r="AG28" s="18">
        <v>1.34E-2</v>
      </c>
      <c r="AH28" s="13">
        <f t="shared" si="8"/>
        <v>6.6473685344011884</v>
      </c>
      <c r="AI28" s="12">
        <v>0.52</v>
      </c>
      <c r="AJ28" s="16">
        <v>-0.65</v>
      </c>
      <c r="AK28" s="12">
        <v>0.51</v>
      </c>
      <c r="AL28" s="13">
        <v>-0.67</v>
      </c>
      <c r="AM28" s="14" t="s">
        <v>20</v>
      </c>
      <c r="AN28" s="17"/>
    </row>
    <row r="29" spans="1:40" ht="15.75" x14ac:dyDescent="0.25">
      <c r="A29" s="11" t="s">
        <v>105</v>
      </c>
      <c r="B29" s="11">
        <v>10</v>
      </c>
      <c r="C29" s="11">
        <v>2012</v>
      </c>
      <c r="D29" s="11">
        <v>35080</v>
      </c>
      <c r="E29" s="11">
        <v>104.1</v>
      </c>
      <c r="F29" s="11">
        <v>481</v>
      </c>
      <c r="G29" s="34">
        <f t="shared" si="0"/>
        <v>72.931392931392935</v>
      </c>
      <c r="H29" s="11">
        <v>2523</v>
      </c>
      <c r="I29" s="11">
        <v>938</v>
      </c>
      <c r="J29" s="12">
        <f t="shared" si="1"/>
        <v>37.398720682302773</v>
      </c>
      <c r="K29" s="11">
        <v>42.22</v>
      </c>
      <c r="L29" s="11">
        <v>0.42220000000000002</v>
      </c>
      <c r="M29" s="13">
        <f t="shared" si="2"/>
        <v>40.524202033272751</v>
      </c>
      <c r="N29" s="11">
        <v>0.8</v>
      </c>
      <c r="O29" s="11">
        <v>8.0000000000000002E-3</v>
      </c>
      <c r="P29" s="13">
        <f t="shared" si="9"/>
        <v>5.1315479493112788</v>
      </c>
      <c r="Q29" s="11">
        <v>77.3</v>
      </c>
      <c r="R29" s="11">
        <v>0.77300000000000002</v>
      </c>
      <c r="S29" s="13">
        <f t="shared" si="3"/>
        <v>61.546513326037314</v>
      </c>
      <c r="T29" s="11">
        <v>0.6</v>
      </c>
      <c r="U29" s="11">
        <v>6.0000000000000001E-3</v>
      </c>
      <c r="V29" s="13">
        <f t="shared" si="4"/>
        <v>4.4425621351140405</v>
      </c>
      <c r="W29" s="11">
        <v>61.7</v>
      </c>
      <c r="X29" s="11">
        <v>0.61699999999999999</v>
      </c>
      <c r="Y29" s="13">
        <f t="shared" si="5"/>
        <v>51.766341768414641</v>
      </c>
      <c r="Z29" s="11">
        <v>38.299999999999997</v>
      </c>
      <c r="AA29" s="11">
        <v>0.38300000000000001</v>
      </c>
      <c r="AB29" s="13">
        <f t="shared" si="6"/>
        <v>38.233658231585366</v>
      </c>
      <c r="AC29" s="12">
        <v>2.67</v>
      </c>
      <c r="AD29" s="18">
        <v>2.6700000000000002E-2</v>
      </c>
      <c r="AE29" s="13">
        <f t="shared" si="7"/>
        <v>9.4043780076845316</v>
      </c>
      <c r="AF29" s="12">
        <v>2.41</v>
      </c>
      <c r="AG29" s="18">
        <v>2.41E-2</v>
      </c>
      <c r="AH29" s="13">
        <f t="shared" si="8"/>
        <v>8.9308170484443234</v>
      </c>
      <c r="AI29" s="12">
        <v>1</v>
      </c>
      <c r="AJ29" s="13">
        <v>0</v>
      </c>
      <c r="AK29" s="12">
        <v>0.9</v>
      </c>
      <c r="AL29" s="13">
        <v>-0.1</v>
      </c>
      <c r="AM29" s="11">
        <v>10</v>
      </c>
      <c r="AN29" s="17"/>
    </row>
    <row r="30" spans="1:40" ht="15.75" x14ac:dyDescent="0.25">
      <c r="A30" s="11" t="s">
        <v>105</v>
      </c>
      <c r="B30" s="11">
        <v>11</v>
      </c>
      <c r="C30" s="11">
        <v>2013</v>
      </c>
      <c r="D30" s="11">
        <v>23376</v>
      </c>
      <c r="E30" s="11">
        <v>107.4</v>
      </c>
      <c r="F30" s="11">
        <v>297</v>
      </c>
      <c r="G30" s="34">
        <f t="shared" si="0"/>
        <v>78.707070707070713</v>
      </c>
      <c r="H30" s="11">
        <v>1300</v>
      </c>
      <c r="I30" s="11">
        <v>849</v>
      </c>
      <c r="J30" s="12">
        <f t="shared" si="1"/>
        <v>27.53356890459364</v>
      </c>
      <c r="K30" s="11">
        <v>29.68</v>
      </c>
      <c r="L30" s="11">
        <v>0.29680000000000001</v>
      </c>
      <c r="M30" s="13">
        <f t="shared" si="2"/>
        <v>33.010555931122113</v>
      </c>
      <c r="N30" s="11">
        <v>2.8</v>
      </c>
      <c r="O30" s="11">
        <v>2.8000000000000001E-2</v>
      </c>
      <c r="P30" s="13">
        <f t="shared" si="9"/>
        <v>9.6327322826972548</v>
      </c>
      <c r="Q30" s="11">
        <v>77.8</v>
      </c>
      <c r="R30" s="11">
        <v>0.77800000000000002</v>
      </c>
      <c r="S30" s="13">
        <f t="shared" si="3"/>
        <v>61.889809975293886</v>
      </c>
      <c r="T30" s="11">
        <v>4.4000000000000004</v>
      </c>
      <c r="U30" s="11">
        <v>4.3999999999999997E-2</v>
      </c>
      <c r="V30" s="13">
        <f t="shared" si="4"/>
        <v>12.108391706646243</v>
      </c>
      <c r="W30" s="11">
        <v>55.6</v>
      </c>
      <c r="X30" s="11">
        <v>0.55600000000000005</v>
      </c>
      <c r="Y30" s="13">
        <f t="shared" si="5"/>
        <v>48.215309840502364</v>
      </c>
      <c r="Z30" s="11">
        <v>44.4</v>
      </c>
      <c r="AA30" s="11">
        <v>0.44400000000000001</v>
      </c>
      <c r="AB30" s="13">
        <f t="shared" si="6"/>
        <v>41.784690159497636</v>
      </c>
      <c r="AC30" s="12">
        <v>3.11</v>
      </c>
      <c r="AD30" s="18">
        <v>3.1099999999999999E-2</v>
      </c>
      <c r="AE30" s="13">
        <f t="shared" si="7"/>
        <v>10.157341150423381</v>
      </c>
      <c r="AF30" s="12">
        <v>2.93</v>
      </c>
      <c r="AG30" s="18">
        <v>2.93E-2</v>
      </c>
      <c r="AH30" s="13">
        <f t="shared" si="8"/>
        <v>9.8559934683334944</v>
      </c>
      <c r="AI30" s="12">
        <v>0.86</v>
      </c>
      <c r="AJ30" s="16">
        <v>-0.16</v>
      </c>
      <c r="AK30" s="12">
        <v>0.81</v>
      </c>
      <c r="AL30" s="13">
        <v>-0.21</v>
      </c>
      <c r="AM30" s="11">
        <v>11</v>
      </c>
      <c r="AN30" s="17"/>
    </row>
    <row r="31" spans="1:40" ht="15.75" x14ac:dyDescent="0.25">
      <c r="A31" s="11" t="s">
        <v>105</v>
      </c>
      <c r="B31" s="11">
        <v>12</v>
      </c>
      <c r="C31" s="11">
        <v>2014</v>
      </c>
      <c r="D31" s="11">
        <v>12886</v>
      </c>
      <c r="E31" s="11">
        <v>98.8</v>
      </c>
      <c r="F31" s="11">
        <v>169</v>
      </c>
      <c r="G31" s="34">
        <f t="shared" si="0"/>
        <v>76.248520710059168</v>
      </c>
      <c r="H31" s="11">
        <v>1235</v>
      </c>
      <c r="I31" s="11">
        <v>335</v>
      </c>
      <c r="J31" s="12">
        <f t="shared" si="1"/>
        <v>38.465671641791047</v>
      </c>
      <c r="K31" s="11">
        <v>30.15</v>
      </c>
      <c r="L31" s="11">
        <v>0.30149999999999999</v>
      </c>
      <c r="M31" s="13">
        <f t="shared" si="2"/>
        <v>33.30461627409985</v>
      </c>
      <c r="N31" s="11">
        <v>2.2999999999999998</v>
      </c>
      <c r="O31" s="11">
        <v>2.3E-2</v>
      </c>
      <c r="P31" s="13">
        <f t="shared" si="9"/>
        <v>8.7229938528890045</v>
      </c>
      <c r="Q31" s="11">
        <v>84.6</v>
      </c>
      <c r="R31" s="11">
        <v>0.84599999999999997</v>
      </c>
      <c r="S31" s="13">
        <f t="shared" si="3"/>
        <v>66.89431772619902</v>
      </c>
      <c r="T31" s="11">
        <v>1.8</v>
      </c>
      <c r="U31" s="11">
        <v>1.7999999999999999E-2</v>
      </c>
      <c r="V31" s="13">
        <f t="shared" si="4"/>
        <v>7.7102853964951175</v>
      </c>
      <c r="W31" s="11">
        <v>49.7</v>
      </c>
      <c r="X31" s="11">
        <v>0.497</v>
      </c>
      <c r="Y31" s="13">
        <f t="shared" si="5"/>
        <v>44.82811163012002</v>
      </c>
      <c r="Z31" s="11">
        <v>50.3</v>
      </c>
      <c r="AA31" s="11">
        <v>0.503</v>
      </c>
      <c r="AB31" s="13">
        <f t="shared" si="6"/>
        <v>45.171888369879987</v>
      </c>
      <c r="AC31" s="12">
        <v>1.65</v>
      </c>
      <c r="AD31" s="18">
        <v>1.6500000000000001E-2</v>
      </c>
      <c r="AE31" s="13">
        <f t="shared" si="7"/>
        <v>7.3801672907347449</v>
      </c>
      <c r="AF31" s="12">
        <v>1.1499999999999999</v>
      </c>
      <c r="AG31" s="18">
        <v>1.15E-2</v>
      </c>
      <c r="AH31" s="13">
        <f t="shared" si="8"/>
        <v>6.1561257529094551</v>
      </c>
      <c r="AI31" s="12">
        <v>0.64</v>
      </c>
      <c r="AJ31" s="16">
        <v>-0.45</v>
      </c>
      <c r="AK31" s="12">
        <v>0.44</v>
      </c>
      <c r="AL31" s="13">
        <v>-0.82</v>
      </c>
      <c r="AM31" s="11">
        <v>12</v>
      </c>
      <c r="AN31" s="17"/>
    </row>
    <row r="32" spans="1:40" ht="15.75" x14ac:dyDescent="0.25">
      <c r="A32" s="11" t="s">
        <v>105</v>
      </c>
      <c r="B32" s="11">
        <v>13</v>
      </c>
      <c r="C32" s="11">
        <v>2015</v>
      </c>
      <c r="D32" s="11">
        <v>3831</v>
      </c>
      <c r="E32" s="11">
        <v>102.5</v>
      </c>
      <c r="F32" s="11">
        <v>64</v>
      </c>
      <c r="G32" s="34">
        <f t="shared" si="0"/>
        <v>59.859375</v>
      </c>
      <c r="H32" s="11">
        <v>1115</v>
      </c>
      <c r="I32" s="11">
        <v>170</v>
      </c>
      <c r="J32" s="12">
        <f t="shared" si="1"/>
        <v>22.535294117647059</v>
      </c>
      <c r="K32" s="11">
        <v>30.59</v>
      </c>
      <c r="L32" s="11">
        <v>0.30590000000000001</v>
      </c>
      <c r="M32" s="13">
        <f t="shared" si="2"/>
        <v>33.578727790419123</v>
      </c>
      <c r="N32" s="11">
        <v>0.2</v>
      </c>
      <c r="O32" s="11">
        <v>2E-3</v>
      </c>
      <c r="P32" s="13">
        <f t="shared" si="9"/>
        <v>2.563200040973856</v>
      </c>
      <c r="Q32" s="11">
        <v>70.3</v>
      </c>
      <c r="R32" s="11">
        <v>0.70299999999999996</v>
      </c>
      <c r="S32" s="13">
        <f t="shared" si="3"/>
        <v>56.976903738155436</v>
      </c>
      <c r="T32" s="11">
        <v>6.3</v>
      </c>
      <c r="U32" s="11">
        <v>6.3E-2</v>
      </c>
      <c r="V32" s="13">
        <f t="shared" si="4"/>
        <v>14.536577005080899</v>
      </c>
      <c r="W32" s="11">
        <v>39.1</v>
      </c>
      <c r="X32" s="11">
        <v>0.39100000000000001</v>
      </c>
      <c r="Y32" s="13">
        <f t="shared" si="5"/>
        <v>38.704204760690736</v>
      </c>
      <c r="Z32" s="11">
        <v>60.9</v>
      </c>
      <c r="AA32" s="11">
        <v>0.60899999999999999</v>
      </c>
      <c r="AB32" s="13">
        <f t="shared" si="6"/>
        <v>51.295795239309257</v>
      </c>
      <c r="AC32" s="12">
        <v>1.8</v>
      </c>
      <c r="AD32" s="18">
        <v>1.7999999999999999E-2</v>
      </c>
      <c r="AE32" s="13">
        <f t="shared" si="7"/>
        <v>7.7102853964951175</v>
      </c>
      <c r="AF32" s="12">
        <v>1.59</v>
      </c>
      <c r="AG32" s="18">
        <v>1.5900000000000001E-2</v>
      </c>
      <c r="AH32" s="13">
        <f t="shared" si="8"/>
        <v>7.2440067113694493</v>
      </c>
      <c r="AI32" s="12">
        <v>0.41</v>
      </c>
      <c r="AJ32" s="13">
        <v>-0.9</v>
      </c>
      <c r="AK32" s="12">
        <v>0.36</v>
      </c>
      <c r="AL32" s="13">
        <v>-1.02</v>
      </c>
      <c r="AM32" s="11">
        <v>13</v>
      </c>
      <c r="AN32" s="17"/>
    </row>
    <row r="33" spans="1:40" ht="15.75" x14ac:dyDescent="0.25">
      <c r="A33" s="11" t="s">
        <v>105</v>
      </c>
      <c r="B33" s="11">
        <v>14</v>
      </c>
      <c r="C33" s="11">
        <v>2016</v>
      </c>
      <c r="D33" s="11">
        <v>6604</v>
      </c>
      <c r="E33" s="11">
        <v>102.8</v>
      </c>
      <c r="F33" s="11">
        <v>124</v>
      </c>
      <c r="G33" s="34">
        <f t="shared" si="0"/>
        <v>53.258064516129032</v>
      </c>
      <c r="H33" s="11">
        <v>1086</v>
      </c>
      <c r="I33" s="11">
        <v>294</v>
      </c>
      <c r="J33" s="12">
        <f t="shared" si="1"/>
        <v>22.462585034013607</v>
      </c>
      <c r="K33" s="11">
        <v>27.55</v>
      </c>
      <c r="L33" s="11">
        <v>0.27550000000000002</v>
      </c>
      <c r="M33" s="13">
        <f t="shared" si="2"/>
        <v>31.660228463819884</v>
      </c>
      <c r="N33" s="11">
        <v>1.2</v>
      </c>
      <c r="O33" s="11">
        <v>1.2E-2</v>
      </c>
      <c r="P33" s="13">
        <f t="shared" si="9"/>
        <v>6.2890593278912927</v>
      </c>
      <c r="Q33" s="11">
        <v>77.400000000000006</v>
      </c>
      <c r="R33" s="11">
        <v>0.77400000000000002</v>
      </c>
      <c r="S33" s="13">
        <f t="shared" si="3"/>
        <v>61.614956258714777</v>
      </c>
      <c r="T33" s="11">
        <v>2.4</v>
      </c>
      <c r="U33" s="11">
        <v>2.4E-2</v>
      </c>
      <c r="V33" s="13">
        <f t="shared" si="4"/>
        <v>8.9121179123219125</v>
      </c>
      <c r="W33" s="11">
        <v>66.900000000000006</v>
      </c>
      <c r="X33" s="11">
        <v>0.66900000000000004</v>
      </c>
      <c r="Y33" s="13">
        <f t="shared" si="5"/>
        <v>54.877535010799768</v>
      </c>
      <c r="Z33" s="11">
        <v>33.1</v>
      </c>
      <c r="AA33" s="11">
        <v>0.33100000000000002</v>
      </c>
      <c r="AB33" s="13">
        <f t="shared" si="6"/>
        <v>35.122464989200232</v>
      </c>
      <c r="AC33" s="12">
        <v>1.35</v>
      </c>
      <c r="AD33" s="18">
        <v>1.35E-2</v>
      </c>
      <c r="AE33" s="13">
        <f t="shared" si="7"/>
        <v>6.6722383570165764</v>
      </c>
      <c r="AF33" s="12">
        <v>1.21</v>
      </c>
      <c r="AG33" s="18">
        <v>1.21E-2</v>
      </c>
      <c r="AH33" s="13">
        <f t="shared" si="8"/>
        <v>6.3153155693573826</v>
      </c>
      <c r="AI33" s="12">
        <v>0.3</v>
      </c>
      <c r="AJ33" s="16">
        <v>-1.19</v>
      </c>
      <c r="AK33" s="12">
        <v>0.27</v>
      </c>
      <c r="AL33" s="13">
        <v>-1.3</v>
      </c>
      <c r="AM33" s="11">
        <v>14</v>
      </c>
      <c r="AN33" s="17"/>
    </row>
    <row r="34" spans="1:40" ht="15.75" x14ac:dyDescent="0.25">
      <c r="A34" s="11" t="s">
        <v>105</v>
      </c>
      <c r="B34" s="11">
        <v>15</v>
      </c>
      <c r="C34" s="11">
        <v>2017</v>
      </c>
      <c r="D34" s="11">
        <v>14305</v>
      </c>
      <c r="E34" s="11">
        <v>102.6</v>
      </c>
      <c r="F34" s="11">
        <v>191</v>
      </c>
      <c r="G34" s="34">
        <f t="shared" si="0"/>
        <v>74.895287958115176</v>
      </c>
      <c r="H34" s="11">
        <v>1777</v>
      </c>
      <c r="I34" s="11">
        <v>523</v>
      </c>
      <c r="J34" s="12">
        <f t="shared" si="1"/>
        <v>27.351816443594647</v>
      </c>
      <c r="K34" s="11">
        <v>66.92</v>
      </c>
      <c r="L34" s="11">
        <v>0.66920000000000002</v>
      </c>
      <c r="M34" s="13">
        <f t="shared" si="2"/>
        <v>54.889711686464707</v>
      </c>
      <c r="N34" s="11">
        <v>12</v>
      </c>
      <c r="O34" s="11">
        <v>0.12</v>
      </c>
      <c r="P34" s="13">
        <f t="shared" si="9"/>
        <v>20.267901055658282</v>
      </c>
      <c r="Q34" s="11">
        <v>77</v>
      </c>
      <c r="R34" s="11">
        <v>0.77</v>
      </c>
      <c r="S34" s="13">
        <f t="shared" si="3"/>
        <v>61.341819423128975</v>
      </c>
      <c r="T34" s="11">
        <v>5.8</v>
      </c>
      <c r="U34" s="11">
        <v>5.8000000000000003E-2</v>
      </c>
      <c r="V34" s="13">
        <f t="shared" si="4"/>
        <v>13.935644465934086</v>
      </c>
      <c r="W34" s="11">
        <v>62.8</v>
      </c>
      <c r="X34" s="11">
        <v>0.628</v>
      </c>
      <c r="Y34" s="13">
        <f t="shared" si="5"/>
        <v>52.41642396040514</v>
      </c>
      <c r="Z34" s="11">
        <v>37.200000000000003</v>
      </c>
      <c r="AA34" s="11">
        <v>0.372</v>
      </c>
      <c r="AB34" s="13">
        <f t="shared" si="6"/>
        <v>37.583576039594874</v>
      </c>
      <c r="AC34" s="12">
        <v>0.31</v>
      </c>
      <c r="AD34" s="18">
        <v>3.0999999999999999E-3</v>
      </c>
      <c r="AE34" s="13">
        <f t="shared" si="7"/>
        <v>3.191744511876748</v>
      </c>
      <c r="AF34" s="12">
        <v>0.31</v>
      </c>
      <c r="AG34" s="18">
        <v>3.0999999999999999E-3</v>
      </c>
      <c r="AH34" s="13">
        <f t="shared" si="8"/>
        <v>3.191744511876748</v>
      </c>
      <c r="AI34" s="12">
        <v>0.09</v>
      </c>
      <c r="AJ34" s="16">
        <v>-2.4500000000000002</v>
      </c>
      <c r="AK34" s="12">
        <v>0.09</v>
      </c>
      <c r="AL34" s="13">
        <v>-2.4500000000000002</v>
      </c>
      <c r="AM34" s="11">
        <v>15</v>
      </c>
      <c r="AN34" s="17"/>
    </row>
    <row r="35" spans="1:40" ht="15.75" x14ac:dyDescent="0.25">
      <c r="A35" s="11" t="s">
        <v>105</v>
      </c>
      <c r="B35" s="11">
        <v>16</v>
      </c>
      <c r="C35" s="11">
        <v>2018</v>
      </c>
      <c r="D35" s="11">
        <v>8058</v>
      </c>
      <c r="E35" s="11">
        <v>106.3</v>
      </c>
      <c r="F35" s="11">
        <v>154</v>
      </c>
      <c r="G35" s="34">
        <f t="shared" si="0"/>
        <v>52.324675324675326</v>
      </c>
      <c r="H35" s="11">
        <v>752</v>
      </c>
      <c r="I35" s="11">
        <v>340</v>
      </c>
      <c r="J35" s="12">
        <f t="shared" si="1"/>
        <v>23.7</v>
      </c>
      <c r="K35" s="11">
        <v>66.47</v>
      </c>
      <c r="L35" s="11">
        <v>0.66469999999999996</v>
      </c>
      <c r="M35" s="13">
        <f t="shared" si="2"/>
        <v>54.61618099472912</v>
      </c>
      <c r="N35" s="11">
        <v>9.8000000000000007</v>
      </c>
      <c r="O35" s="11">
        <v>9.8000000000000004E-2</v>
      </c>
      <c r="P35" s="13">
        <f t="shared" si="9"/>
        <v>18.243104991287225</v>
      </c>
      <c r="Q35" s="11">
        <v>75.3</v>
      </c>
      <c r="R35" s="11">
        <v>0.753</v>
      </c>
      <c r="S35" s="13">
        <f t="shared" si="3"/>
        <v>60.198878557235396</v>
      </c>
      <c r="T35" s="11">
        <v>4.5</v>
      </c>
      <c r="U35" s="11">
        <v>4.4999999999999998E-2</v>
      </c>
      <c r="V35" s="13">
        <f t="shared" si="4"/>
        <v>12.247324235709842</v>
      </c>
      <c r="W35" s="11">
        <v>53.9</v>
      </c>
      <c r="X35" s="11">
        <v>0.53900000000000003</v>
      </c>
      <c r="Y35" s="13">
        <f t="shared" si="5"/>
        <v>47.236807445824262</v>
      </c>
      <c r="Z35" s="11">
        <v>46.1</v>
      </c>
      <c r="AA35" s="11">
        <v>0.46100000000000002</v>
      </c>
      <c r="AB35" s="13">
        <f t="shared" si="6"/>
        <v>42.763192554175738</v>
      </c>
      <c r="AC35" s="12">
        <v>0.71</v>
      </c>
      <c r="AD35" s="18">
        <v>7.1000000000000004E-3</v>
      </c>
      <c r="AE35" s="13">
        <f t="shared" si="7"/>
        <v>4.8335594558385342</v>
      </c>
      <c r="AF35" s="12">
        <v>0.68</v>
      </c>
      <c r="AG35" s="18">
        <v>6.7999999999999996E-3</v>
      </c>
      <c r="AH35" s="13">
        <f t="shared" si="8"/>
        <v>4.7301021638403835</v>
      </c>
      <c r="AI35" s="12">
        <v>0.17</v>
      </c>
      <c r="AJ35" s="16">
        <v>-1.79</v>
      </c>
      <c r="AK35" s="12">
        <v>0.16</v>
      </c>
      <c r="AL35" s="13">
        <v>-1.82</v>
      </c>
      <c r="AM35" s="11">
        <v>16</v>
      </c>
      <c r="AN35" s="17"/>
    </row>
    <row r="36" spans="1:40" ht="15.75" x14ac:dyDescent="0.25">
      <c r="A36" s="11" t="s">
        <v>105</v>
      </c>
      <c r="B36" s="11">
        <v>17</v>
      </c>
      <c r="C36" s="11">
        <v>2019</v>
      </c>
      <c r="D36" s="11">
        <v>17972</v>
      </c>
      <c r="E36" s="11">
        <v>106.4</v>
      </c>
      <c r="F36" s="11">
        <v>70</v>
      </c>
      <c r="G36" s="34">
        <f t="shared" si="0"/>
        <v>256.74285714285713</v>
      </c>
      <c r="H36" s="11">
        <v>512</v>
      </c>
      <c r="I36" s="11">
        <v>249</v>
      </c>
      <c r="J36" s="12">
        <f t="shared" si="1"/>
        <v>72.176706827309232</v>
      </c>
      <c r="K36" s="11">
        <v>80.319999999999993</v>
      </c>
      <c r="L36" s="11">
        <v>0.80320000000000003</v>
      </c>
      <c r="M36" s="13">
        <f t="shared" si="2"/>
        <v>63.664826124921802</v>
      </c>
      <c r="N36" s="11">
        <v>9</v>
      </c>
      <c r="O36" s="11">
        <v>0.09</v>
      </c>
      <c r="P36" s="13">
        <f t="shared" si="9"/>
        <v>17.457603123722095</v>
      </c>
      <c r="Q36" s="11">
        <v>78.599999999999994</v>
      </c>
      <c r="R36" s="11">
        <v>0.78600000000000003</v>
      </c>
      <c r="S36" s="13">
        <f t="shared" si="3"/>
        <v>62.444904959308175</v>
      </c>
      <c r="T36" s="11">
        <v>0</v>
      </c>
      <c r="U36" s="11">
        <v>0</v>
      </c>
      <c r="V36" s="13">
        <f t="shared" si="4"/>
        <v>0</v>
      </c>
      <c r="W36" s="11">
        <v>41.4</v>
      </c>
      <c r="X36" s="11">
        <v>0.41399999999999998</v>
      </c>
      <c r="Y36" s="13">
        <f t="shared" si="5"/>
        <v>40.047938157640218</v>
      </c>
      <c r="Z36" s="11">
        <v>58.6</v>
      </c>
      <c r="AA36" s="11">
        <v>0.58599999999999997</v>
      </c>
      <c r="AB36" s="13">
        <f t="shared" si="6"/>
        <v>49.952061842359775</v>
      </c>
      <c r="AC36" s="12">
        <v>0.55000000000000004</v>
      </c>
      <c r="AD36" s="18">
        <v>5.4999999999999997E-3</v>
      </c>
      <c r="AE36" s="13">
        <f t="shared" si="7"/>
        <v>4.2530734767385336</v>
      </c>
      <c r="AF36" s="12">
        <v>0.53</v>
      </c>
      <c r="AG36" s="18">
        <v>5.3E-3</v>
      </c>
      <c r="AH36" s="13">
        <f t="shared" si="8"/>
        <v>4.1748890821731308</v>
      </c>
      <c r="AI36" s="12">
        <v>0.39</v>
      </c>
      <c r="AJ36" s="16">
        <v>-0.93</v>
      </c>
      <c r="AK36" s="12">
        <v>0.38</v>
      </c>
      <c r="AL36" s="13">
        <v>-0.96</v>
      </c>
      <c r="AM36" s="11">
        <v>17</v>
      </c>
      <c r="AN36" s="17"/>
    </row>
    <row r="37" spans="1:40" ht="15.75" x14ac:dyDescent="0.25">
      <c r="A37" s="11" t="s">
        <v>105</v>
      </c>
      <c r="B37" s="11">
        <v>18</v>
      </c>
      <c r="C37" s="11">
        <v>2020</v>
      </c>
      <c r="D37" s="11">
        <v>16979</v>
      </c>
      <c r="E37" s="11">
        <v>105.9</v>
      </c>
      <c r="F37" s="11">
        <v>109</v>
      </c>
      <c r="G37" s="34">
        <f t="shared" si="0"/>
        <v>155.77064220183487</v>
      </c>
      <c r="H37" s="11">
        <v>545</v>
      </c>
      <c r="I37" s="11">
        <v>220</v>
      </c>
      <c r="J37" s="12">
        <f t="shared" si="1"/>
        <v>77.177272727272722</v>
      </c>
      <c r="K37" s="11">
        <v>86.82</v>
      </c>
      <c r="L37" s="11">
        <v>0.86819999999999997</v>
      </c>
      <c r="M37" s="13">
        <f t="shared" si="2"/>
        <v>68.712823512908017</v>
      </c>
      <c r="N37" s="11">
        <v>20.2</v>
      </c>
      <c r="O37" s="11">
        <v>0.20200000000000001</v>
      </c>
      <c r="P37" s="13">
        <f t="shared" si="9"/>
        <v>26.708023646189602</v>
      </c>
      <c r="Q37" s="11">
        <v>87.2</v>
      </c>
      <c r="R37" s="11">
        <v>0.872</v>
      </c>
      <c r="S37" s="13">
        <f t="shared" si="3"/>
        <v>69.036639130826572</v>
      </c>
      <c r="T37" s="11">
        <v>0.9</v>
      </c>
      <c r="U37" s="11">
        <v>8.9999999999999993E-3</v>
      </c>
      <c r="V37" s="13">
        <f t="shared" si="4"/>
        <v>5.4437414386305143</v>
      </c>
      <c r="W37" s="11">
        <v>70.599999999999994</v>
      </c>
      <c r="X37" s="11">
        <v>0.70599999999999996</v>
      </c>
      <c r="Y37" s="13">
        <f t="shared" si="5"/>
        <v>57.165266870532641</v>
      </c>
      <c r="Z37" s="11">
        <v>29.4</v>
      </c>
      <c r="AA37" s="11">
        <v>0.29399999999999998</v>
      </c>
      <c r="AB37" s="13">
        <f t="shared" si="6"/>
        <v>32.834733129467352</v>
      </c>
      <c r="AC37" s="12">
        <v>1.31</v>
      </c>
      <c r="AD37" s="18">
        <v>1.29E-2</v>
      </c>
      <c r="AE37" s="13">
        <f t="shared" si="7"/>
        <v>6.521622689053193</v>
      </c>
      <c r="AF37" s="12">
        <v>1.26</v>
      </c>
      <c r="AG37" s="18">
        <v>1.24E-2</v>
      </c>
      <c r="AH37" s="13">
        <f t="shared" si="8"/>
        <v>6.3934478321247497</v>
      </c>
      <c r="AI37" s="12">
        <v>1.01</v>
      </c>
      <c r="AJ37" s="16">
        <v>0.01</v>
      </c>
      <c r="AK37" s="11">
        <v>0.97</v>
      </c>
      <c r="AL37" s="13">
        <v>-0.03</v>
      </c>
      <c r="AM37" s="11">
        <v>18</v>
      </c>
      <c r="AN37" s="17"/>
    </row>
    <row r="38" spans="1:40" ht="15.75" x14ac:dyDescent="0.25">
      <c r="A38" s="11" t="s">
        <v>105</v>
      </c>
      <c r="B38" s="11">
        <v>20</v>
      </c>
      <c r="C38" s="11">
        <v>2022</v>
      </c>
      <c r="D38" s="20">
        <v>1889</v>
      </c>
      <c r="E38" s="11">
        <v>109.4</v>
      </c>
      <c r="F38" s="11">
        <v>14</v>
      </c>
      <c r="G38" s="34">
        <f t="shared" si="0"/>
        <v>134.92857142857142</v>
      </c>
      <c r="H38" s="11">
        <v>81</v>
      </c>
      <c r="I38" s="11">
        <v>26</v>
      </c>
      <c r="J38" s="12">
        <f t="shared" si="1"/>
        <v>72.65384615384616</v>
      </c>
      <c r="K38" s="11">
        <v>34.619999999999997</v>
      </c>
      <c r="L38" s="11">
        <v>0.34620000000000001</v>
      </c>
      <c r="M38" s="13">
        <f t="shared" si="2"/>
        <v>36.042672640252682</v>
      </c>
      <c r="N38" s="11">
        <v>2.5</v>
      </c>
      <c r="O38" s="11">
        <v>2.5000000000000001E-2</v>
      </c>
      <c r="P38" s="13">
        <f t="shared" si="9"/>
        <v>9.0974361693833874</v>
      </c>
      <c r="Q38" s="11">
        <v>71.400000000000006</v>
      </c>
      <c r="R38" s="11">
        <v>0.71399999999999997</v>
      </c>
      <c r="S38" s="13">
        <f t="shared" si="3"/>
        <v>57.670350961973874</v>
      </c>
      <c r="T38" s="11">
        <v>14.3</v>
      </c>
      <c r="U38" s="11">
        <v>0.14299999999999999</v>
      </c>
      <c r="V38" s="13">
        <f t="shared" si="4"/>
        <v>22.219347315401759</v>
      </c>
      <c r="W38" s="11">
        <v>14.3</v>
      </c>
      <c r="X38" s="11">
        <v>0.14299999999999999</v>
      </c>
      <c r="Y38" s="13">
        <f t="shared" si="5"/>
        <v>22.219347315401759</v>
      </c>
      <c r="Z38" s="11">
        <v>85.7</v>
      </c>
      <c r="AA38" s="11">
        <v>0.85699999999999998</v>
      </c>
      <c r="AB38" s="13">
        <f t="shared" si="6"/>
        <v>67.780652684598238</v>
      </c>
      <c r="AC38" s="42">
        <v>3.23</v>
      </c>
      <c r="AD38" s="43">
        <v>3.2000000000000001E-2</v>
      </c>
      <c r="AE38" s="13">
        <f t="shared" si="7"/>
        <v>10.304846468766033</v>
      </c>
      <c r="AF38" s="42">
        <v>3.23</v>
      </c>
      <c r="AG38" s="44">
        <v>3.2000000000000001E-2</v>
      </c>
      <c r="AH38" s="13">
        <f t="shared" si="8"/>
        <v>10.304846468766033</v>
      </c>
      <c r="AI38" s="42">
        <v>2.35</v>
      </c>
      <c r="AJ38" s="16">
        <v>0.85</v>
      </c>
      <c r="AK38" s="37">
        <v>2.35</v>
      </c>
      <c r="AL38" s="13">
        <v>0.85</v>
      </c>
      <c r="AM38" s="11">
        <v>20</v>
      </c>
      <c r="AN38" s="17"/>
    </row>
    <row r="39" spans="1:40" ht="15.75" x14ac:dyDescent="0.25">
      <c r="A39" s="11" t="s">
        <v>105</v>
      </c>
      <c r="B39" s="11">
        <v>21</v>
      </c>
      <c r="C39" s="11">
        <v>2023</v>
      </c>
      <c r="D39" s="20">
        <v>3356</v>
      </c>
      <c r="E39" s="11">
        <v>106.2</v>
      </c>
      <c r="F39" s="11">
        <v>35</v>
      </c>
      <c r="G39" s="34">
        <f t="shared" si="0"/>
        <v>95.885714285714286</v>
      </c>
      <c r="H39" s="11">
        <v>215</v>
      </c>
      <c r="I39" s="11">
        <v>75</v>
      </c>
      <c r="J39" s="12">
        <f t="shared" si="1"/>
        <v>44.74666666666667</v>
      </c>
      <c r="K39" s="11">
        <v>66.67</v>
      </c>
      <c r="L39" s="17">
        <v>0.66669999999999996</v>
      </c>
      <c r="M39" s="13">
        <f t="shared" si="2"/>
        <v>54.737636054280415</v>
      </c>
      <c r="N39" s="11">
        <v>41.4</v>
      </c>
      <c r="O39" s="11">
        <v>0.41399999999999998</v>
      </c>
      <c r="P39" s="13">
        <f t="shared" si="9"/>
        <v>40.047938157640218</v>
      </c>
      <c r="Q39" s="11">
        <v>48.6</v>
      </c>
      <c r="R39" s="11">
        <v>0.48599999999999999</v>
      </c>
      <c r="S39" s="13">
        <f t="shared" si="3"/>
        <v>44.197754236742206</v>
      </c>
      <c r="T39" s="11">
        <v>14.3</v>
      </c>
      <c r="U39" s="11">
        <v>0.14299999999999999</v>
      </c>
      <c r="V39" s="13">
        <f t="shared" si="4"/>
        <v>22.219347315401759</v>
      </c>
      <c r="W39" s="11">
        <v>11.4</v>
      </c>
      <c r="X39" s="11">
        <v>0.114</v>
      </c>
      <c r="Y39" s="13">
        <f t="shared" si="5"/>
        <v>19.733085811011932</v>
      </c>
      <c r="Z39" s="11">
        <v>88.6</v>
      </c>
      <c r="AA39" s="11">
        <v>0.88600000000000001</v>
      </c>
      <c r="AB39" s="13">
        <f t="shared" si="6"/>
        <v>70.266914188988068</v>
      </c>
      <c r="AC39" s="37">
        <v>1.31</v>
      </c>
      <c r="AD39" s="37">
        <v>1.2999999999999999E-2</v>
      </c>
      <c r="AE39" s="42">
        <f t="shared" si="7"/>
        <v>6.5469616602852474</v>
      </c>
      <c r="AF39" s="42">
        <v>0</v>
      </c>
      <c r="AG39" s="44">
        <v>0</v>
      </c>
      <c r="AH39" s="42">
        <f t="shared" si="8"/>
        <v>0</v>
      </c>
      <c r="AI39" s="37">
        <v>0.59</v>
      </c>
      <c r="AJ39" s="37">
        <v>-0.53</v>
      </c>
      <c r="AK39" s="36"/>
      <c r="AL39" s="36"/>
      <c r="AM39" s="11">
        <v>21</v>
      </c>
      <c r="AN39" s="17"/>
    </row>
    <row r="40" spans="1:40" ht="15.75" x14ac:dyDescent="0.25">
      <c r="A40" s="11" t="s">
        <v>105</v>
      </c>
      <c r="B40" s="11">
        <v>22</v>
      </c>
      <c r="C40" s="11">
        <v>2024</v>
      </c>
      <c r="D40" s="11">
        <v>6742</v>
      </c>
      <c r="E40" s="11">
        <v>104.9</v>
      </c>
      <c r="F40" s="11">
        <v>41</v>
      </c>
      <c r="G40" s="34">
        <f t="shared" si="0"/>
        <v>164.4390243902439</v>
      </c>
      <c r="H40" s="11">
        <v>273</v>
      </c>
      <c r="I40" s="11">
        <v>88</v>
      </c>
      <c r="J40" s="12">
        <f t="shared" si="1"/>
        <v>76.61363636363636</v>
      </c>
      <c r="K40" s="11">
        <v>48.86</v>
      </c>
      <c r="L40" s="17">
        <v>0.48859999999999998</v>
      </c>
      <c r="M40" s="13">
        <f t="shared" si="2"/>
        <v>44.346771509496349</v>
      </c>
      <c r="N40" s="11">
        <v>15.8</v>
      </c>
      <c r="O40" s="11">
        <v>0.158</v>
      </c>
      <c r="P40" s="13">
        <f t="shared" si="9"/>
        <v>23.421493260333037</v>
      </c>
      <c r="Q40" s="11">
        <v>82.9</v>
      </c>
      <c r="R40" s="11">
        <v>0.82899999999999996</v>
      </c>
      <c r="S40" s="13">
        <f t="shared" si="3"/>
        <v>65.573759605071047</v>
      </c>
      <c r="T40" s="11">
        <v>2.4</v>
      </c>
      <c r="U40" s="11">
        <v>2.4E-2</v>
      </c>
      <c r="V40" s="13">
        <f t="shared" si="4"/>
        <v>8.9121179123219125</v>
      </c>
      <c r="W40" s="11">
        <v>56.1</v>
      </c>
      <c r="X40" s="11">
        <v>0.56100000000000005</v>
      </c>
      <c r="Y40" s="13">
        <f t="shared" si="5"/>
        <v>48.503771175758352</v>
      </c>
      <c r="Z40" s="11">
        <v>43.9</v>
      </c>
      <c r="AA40" s="11">
        <v>0.439</v>
      </c>
      <c r="AB40" s="13">
        <f t="shared" si="6"/>
        <v>41.496228824241648</v>
      </c>
      <c r="AC40" s="17"/>
      <c r="AD40" s="17"/>
      <c r="AE40" s="17"/>
      <c r="AF40" s="17"/>
      <c r="AG40" s="17"/>
      <c r="AH40" s="21"/>
      <c r="AI40" s="17"/>
      <c r="AJ40" s="17"/>
      <c r="AK40" s="17"/>
      <c r="AL40" s="17"/>
      <c r="AM40" s="11">
        <v>22</v>
      </c>
      <c r="AN40" s="17"/>
    </row>
    <row r="41" spans="1:40" ht="16.5" thickBot="1" x14ac:dyDescent="0.3">
      <c r="A41" s="17"/>
      <c r="B41" s="11"/>
      <c r="C41" s="11"/>
      <c r="D41" s="11"/>
      <c r="E41" s="11"/>
      <c r="F41" s="11"/>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row>
    <row r="42" spans="1:40" ht="15.75" x14ac:dyDescent="0.25">
      <c r="B42" s="1"/>
      <c r="C42" s="1"/>
      <c r="D42" s="1"/>
      <c r="E42" s="1"/>
      <c r="F42" s="1"/>
      <c r="J42" s="26" t="s">
        <v>75</v>
      </c>
      <c r="K42" s="27">
        <f>AVERAGE(K6:K40)</f>
        <v>35.351428571428556</v>
      </c>
      <c r="L42" s="17"/>
      <c r="M42" s="18"/>
    </row>
    <row r="43" spans="1:40" ht="16.5" thickBot="1" x14ac:dyDescent="0.3">
      <c r="B43" s="1"/>
      <c r="C43" s="1"/>
      <c r="D43" s="1"/>
      <c r="E43" s="1"/>
      <c r="F43" s="1"/>
      <c r="J43" s="28" t="s">
        <v>76</v>
      </c>
      <c r="K43" s="29">
        <f>STDEV(K6:K40)</f>
        <v>25.942483570034572</v>
      </c>
      <c r="L43" s="17"/>
      <c r="M43" s="18"/>
    </row>
    <row r="44" spans="1:40" ht="15.75" x14ac:dyDescent="0.25">
      <c r="B44" s="1"/>
      <c r="C44" s="1"/>
      <c r="D44" s="1"/>
      <c r="E44" s="1"/>
      <c r="F44" s="1"/>
      <c r="L44" s="17"/>
      <c r="M44" s="18"/>
    </row>
  </sheetData>
  <pageMargins left="0.7" right="0.7" top="0.75" bottom="0.75" header="0.3" footer="0.3"/>
  <pageSetup scale="76" fitToWidth="0" orientation="landscape" r:id="rId1"/>
  <ignoredErrors>
    <ignoredError sqref="AM19:AM29 B19:B28" numberStoredAsText="1"/>
  </ignoredError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FA9F6-E840-47AC-B14F-911A53388548}">
  <sheetPr>
    <pageSetUpPr fitToPage="1"/>
  </sheetPr>
  <dimension ref="B1:P40"/>
  <sheetViews>
    <sheetView workbookViewId="0">
      <pane xSplit="1" ySplit="2" topLeftCell="B3" activePane="bottomRight" state="frozen"/>
      <selection pane="topRight" activeCell="B1" sqref="B1"/>
      <selection pane="bottomLeft" activeCell="A3" sqref="A3"/>
      <selection pane="bottomRight" activeCell="M23" sqref="M23"/>
    </sheetView>
  </sheetViews>
  <sheetFormatPr defaultRowHeight="15" x14ac:dyDescent="0.25"/>
  <cols>
    <col min="2" max="2" width="12.85546875" customWidth="1"/>
  </cols>
  <sheetData>
    <row r="1" spans="2:16" x14ac:dyDescent="0.25">
      <c r="B1" s="1" t="s">
        <v>72</v>
      </c>
      <c r="C1" s="1" t="s">
        <v>74</v>
      </c>
    </row>
    <row r="2" spans="2:16" ht="15.75" thickBot="1" x14ac:dyDescent="0.3">
      <c r="B2" s="8" t="s">
        <v>73</v>
      </c>
      <c r="C2" s="8" t="s">
        <v>68</v>
      </c>
      <c r="D2" s="8" t="s">
        <v>29</v>
      </c>
      <c r="E2" s="8" t="s">
        <v>30</v>
      </c>
      <c r="F2" s="8" t="s">
        <v>31</v>
      </c>
      <c r="G2" s="8" t="s">
        <v>32</v>
      </c>
      <c r="H2" s="9" t="s">
        <v>99</v>
      </c>
      <c r="I2" s="2"/>
      <c r="J2" s="2"/>
      <c r="K2" s="2"/>
      <c r="L2" s="2"/>
      <c r="M2" s="2"/>
      <c r="N2" s="2"/>
      <c r="O2" s="2"/>
      <c r="P2" s="2"/>
    </row>
    <row r="3" spans="2:16" x14ac:dyDescent="0.25">
      <c r="B3" s="1" t="s">
        <v>33</v>
      </c>
      <c r="C3" s="1">
        <v>1985</v>
      </c>
      <c r="D3" s="5">
        <v>35559</v>
      </c>
      <c r="E3" s="5">
        <v>33074</v>
      </c>
      <c r="F3" s="5">
        <v>38044</v>
      </c>
      <c r="G3" s="4"/>
      <c r="H3" t="s">
        <v>100</v>
      </c>
    </row>
    <row r="4" spans="2:16" x14ac:dyDescent="0.25">
      <c r="B4" s="1" t="s">
        <v>34</v>
      </c>
      <c r="C4" s="1">
        <v>1986</v>
      </c>
      <c r="D4" s="5">
        <v>51004</v>
      </c>
      <c r="E4" s="5">
        <v>46610</v>
      </c>
      <c r="F4" s="5">
        <v>55782</v>
      </c>
      <c r="G4" s="33">
        <v>2355.9</v>
      </c>
    </row>
    <row r="5" spans="2:16" x14ac:dyDescent="0.25">
      <c r="B5" s="1" t="s">
        <v>35</v>
      </c>
      <c r="C5" s="1">
        <v>1987</v>
      </c>
      <c r="D5" s="5">
        <v>52349</v>
      </c>
      <c r="E5" s="5">
        <v>38303</v>
      </c>
      <c r="F5" s="5">
        <v>79229</v>
      </c>
      <c r="G5" s="33">
        <v>11130.5</v>
      </c>
    </row>
    <row r="6" spans="2:16" x14ac:dyDescent="0.25">
      <c r="B6" s="1" t="s">
        <v>36</v>
      </c>
      <c r="C6" s="1">
        <v>1988</v>
      </c>
      <c r="D6" s="5">
        <v>35925</v>
      </c>
      <c r="E6" s="5">
        <v>29338</v>
      </c>
      <c r="F6" s="5">
        <v>45652</v>
      </c>
      <c r="G6" s="33">
        <v>4055.2</v>
      </c>
    </row>
    <row r="7" spans="2:16" x14ac:dyDescent="0.25">
      <c r="B7" s="1" t="s">
        <v>37</v>
      </c>
      <c r="C7" s="1">
        <v>1989</v>
      </c>
      <c r="D7" s="5">
        <v>19107</v>
      </c>
      <c r="E7" s="5">
        <v>14047</v>
      </c>
      <c r="F7" s="5">
        <v>25827</v>
      </c>
      <c r="G7" s="33">
        <v>3088.3</v>
      </c>
    </row>
    <row r="8" spans="2:16" x14ac:dyDescent="0.25">
      <c r="B8" s="1" t="s">
        <v>38</v>
      </c>
      <c r="C8" s="1">
        <v>1990</v>
      </c>
      <c r="D8" s="5">
        <v>32969</v>
      </c>
      <c r="E8" s="5">
        <v>26335</v>
      </c>
      <c r="F8" s="5">
        <v>41735</v>
      </c>
      <c r="G8" s="30">
        <v>4124.7</v>
      </c>
    </row>
    <row r="9" spans="2:16" x14ac:dyDescent="0.25">
      <c r="B9" s="4" t="s">
        <v>39</v>
      </c>
      <c r="C9" s="4">
        <v>1991</v>
      </c>
      <c r="D9" s="4"/>
      <c r="E9" s="4"/>
      <c r="F9" s="4"/>
      <c r="G9" s="31"/>
      <c r="H9" t="s">
        <v>84</v>
      </c>
    </row>
    <row r="10" spans="2:16" x14ac:dyDescent="0.25">
      <c r="B10" s="1" t="s">
        <v>40</v>
      </c>
      <c r="C10" s="1">
        <v>1992</v>
      </c>
      <c r="D10" s="5">
        <v>36749</v>
      </c>
      <c r="E10" s="5">
        <v>30704</v>
      </c>
      <c r="F10" s="5">
        <v>47100</v>
      </c>
      <c r="G10" s="30">
        <v>4049.4</v>
      </c>
    </row>
    <row r="11" spans="2:16" x14ac:dyDescent="0.25">
      <c r="B11" s="1" t="s">
        <v>41</v>
      </c>
      <c r="C11" s="1">
        <v>1993</v>
      </c>
      <c r="D11" s="5">
        <v>34623</v>
      </c>
      <c r="E11" s="5">
        <v>30747</v>
      </c>
      <c r="F11" s="5">
        <v>39791</v>
      </c>
      <c r="G11" s="30">
        <v>2319.9</v>
      </c>
    </row>
    <row r="12" spans="2:16" x14ac:dyDescent="0.25">
      <c r="B12" s="1" t="s">
        <v>42</v>
      </c>
      <c r="C12" s="1">
        <v>1994</v>
      </c>
      <c r="D12" s="5">
        <v>4957</v>
      </c>
      <c r="E12" s="5">
        <v>3212</v>
      </c>
      <c r="F12" s="5">
        <v>7915</v>
      </c>
      <c r="G12" s="30">
        <v>1194</v>
      </c>
    </row>
    <row r="13" spans="2:16" x14ac:dyDescent="0.25">
      <c r="B13" s="4" t="s">
        <v>43</v>
      </c>
      <c r="C13" s="4">
        <v>1995</v>
      </c>
      <c r="D13" s="4"/>
      <c r="E13" s="4"/>
      <c r="F13" s="4"/>
      <c r="G13" s="31"/>
      <c r="H13" t="s">
        <v>102</v>
      </c>
    </row>
    <row r="14" spans="2:16" x14ac:dyDescent="0.25">
      <c r="B14" s="1" t="s">
        <v>44</v>
      </c>
      <c r="C14" s="1">
        <v>1996</v>
      </c>
      <c r="D14" s="5">
        <v>2906</v>
      </c>
      <c r="E14" s="5">
        <v>2122</v>
      </c>
      <c r="F14" s="5">
        <v>4276</v>
      </c>
      <c r="G14" s="30">
        <v>565.70000000000005</v>
      </c>
    </row>
    <row r="15" spans="2:16" x14ac:dyDescent="0.25">
      <c r="B15" s="1" t="s">
        <v>45</v>
      </c>
      <c r="C15" s="1">
        <v>1997</v>
      </c>
      <c r="D15" s="5">
        <v>25553</v>
      </c>
      <c r="E15" s="5">
        <v>19932</v>
      </c>
      <c r="F15" s="5">
        <v>33164</v>
      </c>
      <c r="G15" s="30">
        <v>3471</v>
      </c>
    </row>
    <row r="16" spans="2:16" x14ac:dyDescent="0.25">
      <c r="B16" s="1" t="s">
        <v>46</v>
      </c>
      <c r="C16" s="1">
        <v>1998</v>
      </c>
      <c r="D16" s="5">
        <v>4849</v>
      </c>
      <c r="E16" s="5">
        <v>3456</v>
      </c>
      <c r="F16" s="5">
        <v>7838</v>
      </c>
      <c r="G16" s="30">
        <v>1104.5999999999999</v>
      </c>
    </row>
    <row r="17" spans="2:7" x14ac:dyDescent="0.25">
      <c r="B17" s="1" t="s">
        <v>47</v>
      </c>
      <c r="C17" s="1">
        <v>1999</v>
      </c>
      <c r="D17" s="5">
        <v>8721</v>
      </c>
      <c r="E17" s="5">
        <v>6301</v>
      </c>
      <c r="F17" s="5">
        <v>13380</v>
      </c>
      <c r="G17" s="30">
        <v>1837.4</v>
      </c>
    </row>
    <row r="18" spans="2:7" x14ac:dyDescent="0.25">
      <c r="B18" s="3" t="s">
        <v>55</v>
      </c>
      <c r="C18" s="1">
        <v>2000</v>
      </c>
      <c r="D18" s="5">
        <v>29442</v>
      </c>
      <c r="E18" s="5">
        <v>15836</v>
      </c>
      <c r="F18" s="5">
        <v>48359</v>
      </c>
      <c r="G18" s="30">
        <v>8639.7999999999993</v>
      </c>
    </row>
    <row r="19" spans="2:7" x14ac:dyDescent="0.25">
      <c r="B19" s="3" t="s">
        <v>56</v>
      </c>
      <c r="C19" s="1">
        <v>2001</v>
      </c>
      <c r="D19" s="5">
        <v>42416</v>
      </c>
      <c r="E19" s="5">
        <v>36074</v>
      </c>
      <c r="F19" s="5">
        <v>52304</v>
      </c>
      <c r="G19" s="30">
        <v>4221.2</v>
      </c>
    </row>
    <row r="20" spans="2:7" x14ac:dyDescent="0.25">
      <c r="B20" s="3" t="s">
        <v>57</v>
      </c>
      <c r="C20" s="1">
        <v>2002</v>
      </c>
      <c r="D20" s="5">
        <v>64036</v>
      </c>
      <c r="E20" s="5">
        <v>46704</v>
      </c>
      <c r="F20" s="5">
        <v>98183</v>
      </c>
      <c r="G20" s="30">
        <v>12352.2</v>
      </c>
    </row>
    <row r="21" spans="2:7" x14ac:dyDescent="0.25">
      <c r="B21" s="3" t="s">
        <v>58</v>
      </c>
      <c r="C21" s="1">
        <v>2003</v>
      </c>
      <c r="D21" s="5">
        <v>27724</v>
      </c>
      <c r="E21" s="5">
        <v>23324</v>
      </c>
      <c r="F21" s="5">
        <v>35295</v>
      </c>
      <c r="G21" s="30">
        <v>3004.4</v>
      </c>
    </row>
    <row r="22" spans="2:7" x14ac:dyDescent="0.25">
      <c r="B22" s="3" t="s">
        <v>59</v>
      </c>
      <c r="C22" s="1">
        <v>2004</v>
      </c>
      <c r="D22" s="5">
        <v>21057</v>
      </c>
      <c r="E22" s="5">
        <v>17779</v>
      </c>
      <c r="F22" s="5">
        <v>25627</v>
      </c>
      <c r="G22" s="30">
        <v>2094.8000000000002</v>
      </c>
    </row>
    <row r="23" spans="2:7" x14ac:dyDescent="0.25">
      <c r="B23" s="3" t="s">
        <v>60</v>
      </c>
      <c r="C23" s="1">
        <v>2005</v>
      </c>
      <c r="D23" s="5">
        <v>17579</v>
      </c>
      <c r="E23" s="5">
        <v>14951</v>
      </c>
      <c r="F23" s="5">
        <v>20935</v>
      </c>
      <c r="G23" s="30">
        <v>1544.5</v>
      </c>
    </row>
    <row r="24" spans="2:7" x14ac:dyDescent="0.25">
      <c r="B24" s="3" t="s">
        <v>61</v>
      </c>
      <c r="C24" s="1">
        <v>2006</v>
      </c>
      <c r="D24" s="5">
        <v>30228</v>
      </c>
      <c r="E24" s="5">
        <v>21534</v>
      </c>
      <c r="F24" s="5">
        <v>46614</v>
      </c>
      <c r="G24" s="30">
        <v>6849.5</v>
      </c>
    </row>
    <row r="25" spans="2:7" x14ac:dyDescent="0.25">
      <c r="B25" s="3" t="s">
        <v>62</v>
      </c>
      <c r="C25" s="1">
        <v>2007</v>
      </c>
      <c r="D25" s="5">
        <v>8529</v>
      </c>
      <c r="E25" s="5">
        <v>7059</v>
      </c>
      <c r="F25" s="5">
        <v>10592</v>
      </c>
      <c r="G25" s="30">
        <v>907.3</v>
      </c>
    </row>
    <row r="26" spans="2:7" x14ac:dyDescent="0.25">
      <c r="B26" s="3" t="s">
        <v>63</v>
      </c>
      <c r="C26" s="1">
        <v>2008</v>
      </c>
      <c r="D26" s="5">
        <v>14778</v>
      </c>
      <c r="E26" s="5">
        <v>12767</v>
      </c>
      <c r="F26" s="5">
        <v>17978</v>
      </c>
      <c r="G26" s="30">
        <v>1363</v>
      </c>
    </row>
    <row r="27" spans="2:7" x14ac:dyDescent="0.25">
      <c r="B27" s="3" t="s">
        <v>64</v>
      </c>
      <c r="C27" s="1">
        <v>2009</v>
      </c>
      <c r="D27" s="5">
        <v>45538</v>
      </c>
      <c r="E27" s="5">
        <v>41083</v>
      </c>
      <c r="F27" s="5">
        <v>51349</v>
      </c>
      <c r="G27" s="30">
        <v>2750.5</v>
      </c>
    </row>
    <row r="28" spans="2:7" x14ac:dyDescent="0.25">
      <c r="B28" s="3" t="s">
        <v>65</v>
      </c>
      <c r="C28" s="1">
        <v>2010</v>
      </c>
      <c r="D28" s="5">
        <v>35080</v>
      </c>
      <c r="E28" s="5">
        <v>30063</v>
      </c>
      <c r="F28" s="5">
        <v>41026</v>
      </c>
      <c r="G28" s="30">
        <v>2735.6</v>
      </c>
    </row>
    <row r="29" spans="2:7" x14ac:dyDescent="0.25">
      <c r="B29" s="3" t="s">
        <v>66</v>
      </c>
      <c r="C29" s="1">
        <v>2011</v>
      </c>
      <c r="D29" s="5">
        <v>23376</v>
      </c>
      <c r="E29" s="5">
        <v>20848</v>
      </c>
      <c r="F29" s="5">
        <v>27056</v>
      </c>
      <c r="G29" s="30">
        <v>1524.5</v>
      </c>
    </row>
    <row r="30" spans="2:7" x14ac:dyDescent="0.25">
      <c r="B30" s="1" t="s">
        <v>48</v>
      </c>
      <c r="C30" s="1">
        <v>2012</v>
      </c>
      <c r="D30" s="5">
        <v>12886</v>
      </c>
      <c r="E30" s="5">
        <v>9151</v>
      </c>
      <c r="F30" s="5">
        <v>19261</v>
      </c>
      <c r="G30" s="30">
        <v>2748.1</v>
      </c>
    </row>
    <row r="31" spans="2:7" x14ac:dyDescent="0.25">
      <c r="B31" s="1" t="s">
        <v>49</v>
      </c>
      <c r="C31" s="1">
        <v>2013</v>
      </c>
      <c r="D31" s="5">
        <v>3831</v>
      </c>
      <c r="E31" s="5">
        <v>2722</v>
      </c>
      <c r="F31" s="5">
        <v>5667</v>
      </c>
      <c r="G31" s="30">
        <v>726.6</v>
      </c>
    </row>
    <row r="32" spans="2:7" x14ac:dyDescent="0.25">
      <c r="B32" s="1" t="s">
        <v>50</v>
      </c>
      <c r="C32" s="1">
        <v>2014</v>
      </c>
      <c r="D32" s="5">
        <v>6604</v>
      </c>
      <c r="E32" s="5">
        <v>5674</v>
      </c>
      <c r="F32" s="5">
        <v>7696</v>
      </c>
      <c r="G32" s="30">
        <v>517</v>
      </c>
    </row>
    <row r="33" spans="2:8" x14ac:dyDescent="0.25">
      <c r="B33" s="1" t="s">
        <v>51</v>
      </c>
      <c r="C33" s="1">
        <v>2015</v>
      </c>
      <c r="D33" s="5">
        <v>14305</v>
      </c>
      <c r="E33" s="5">
        <v>10325</v>
      </c>
      <c r="F33" s="5">
        <v>22431</v>
      </c>
      <c r="G33" s="30">
        <v>3137.3</v>
      </c>
    </row>
    <row r="34" spans="2:8" x14ac:dyDescent="0.25">
      <c r="B34" s="1" t="s">
        <v>52</v>
      </c>
      <c r="C34" s="1">
        <v>2016</v>
      </c>
      <c r="D34" s="5">
        <v>8058</v>
      </c>
      <c r="E34" s="5">
        <v>4618</v>
      </c>
      <c r="F34" s="5">
        <v>16014</v>
      </c>
      <c r="G34" s="30">
        <v>2730.5</v>
      </c>
    </row>
    <row r="35" spans="2:8" x14ac:dyDescent="0.25">
      <c r="B35" s="1" t="s">
        <v>53</v>
      </c>
      <c r="C35" s="1">
        <v>2017</v>
      </c>
      <c r="D35" s="5">
        <v>17972</v>
      </c>
      <c r="E35" s="5">
        <v>13302</v>
      </c>
      <c r="F35" s="5">
        <v>25871</v>
      </c>
      <c r="G35" s="30">
        <v>3181.9</v>
      </c>
    </row>
    <row r="36" spans="2:8" x14ac:dyDescent="0.25">
      <c r="B36" s="1" t="s">
        <v>54</v>
      </c>
      <c r="C36" s="1">
        <v>2018</v>
      </c>
      <c r="D36" s="5">
        <v>16979</v>
      </c>
      <c r="E36" s="40"/>
      <c r="F36" s="40"/>
      <c r="G36" s="41"/>
      <c r="H36" t="s">
        <v>101</v>
      </c>
    </row>
    <row r="37" spans="2:8" x14ac:dyDescent="0.25">
      <c r="B37" s="4" t="s">
        <v>82</v>
      </c>
      <c r="C37" s="4">
        <v>2019</v>
      </c>
      <c r="D37" s="4">
        <v>174</v>
      </c>
      <c r="E37" s="7"/>
      <c r="F37" s="7"/>
      <c r="G37" s="32"/>
      <c r="H37" t="s">
        <v>125</v>
      </c>
    </row>
    <row r="38" spans="2:8" x14ac:dyDescent="0.25">
      <c r="B38" s="1" t="s">
        <v>124</v>
      </c>
      <c r="C38" s="1">
        <v>2020</v>
      </c>
      <c r="D38" s="5">
        <v>1889</v>
      </c>
      <c r="E38" s="5">
        <v>1114</v>
      </c>
      <c r="F38" s="5">
        <v>3313</v>
      </c>
      <c r="G38" s="30">
        <v>571.6</v>
      </c>
    </row>
    <row r="39" spans="2:8" x14ac:dyDescent="0.25">
      <c r="B39" s="1" t="s">
        <v>127</v>
      </c>
      <c r="C39" s="1">
        <v>2021</v>
      </c>
      <c r="D39" s="5">
        <v>3356</v>
      </c>
      <c r="E39" s="5">
        <v>2750</v>
      </c>
      <c r="F39" s="5">
        <v>4219</v>
      </c>
      <c r="G39" s="30">
        <v>365</v>
      </c>
    </row>
    <row r="40" spans="2:8" x14ac:dyDescent="0.25">
      <c r="B40" s="1" t="s">
        <v>128</v>
      </c>
      <c r="C40" s="1">
        <v>2022</v>
      </c>
      <c r="D40" s="5">
        <v>6742</v>
      </c>
      <c r="E40" s="5">
        <v>5932</v>
      </c>
      <c r="F40" s="5">
        <v>7743</v>
      </c>
      <c r="G40" s="30">
        <v>468.2</v>
      </c>
    </row>
  </sheetData>
  <pageMargins left="0.7" right="0.7" top="0.75" bottom="0.75" header="0.3" footer="0.3"/>
  <pageSetup scale="84"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Brief Background</vt:lpstr>
      <vt:lpstr>Tuc R. Sp Ch ArcSine SqRT</vt:lpstr>
      <vt:lpstr>Smolt Estimates</vt:lpstr>
      <vt:lpstr>'Smolt Estimates'!Print_Area</vt:lpstr>
      <vt:lpstr>'Tuc R. Sp Ch ArcSine SqRT'!Print_Area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Gallinat, Michael P (DFW)</dc:creator>
  <cp:lastModifiedBy>Gallinat, Michael P (DFW)</cp:lastModifiedBy>
  <cp:lastPrinted>2024-10-28T20:11:02Z</cp:lastPrinted>
  <dcterms:created xsi:type="dcterms:W3CDTF">2021-09-03T15:18:32Z</dcterms:created>
  <dcterms:modified xsi:type="dcterms:W3CDTF">2024-11-06T18:19:31Z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5011977-b912-4387-97a4-f4c94a801377_Enabled">
    <vt:lpwstr>true</vt:lpwstr>
  </property>
  <property fmtid="{D5CDD505-2E9C-101B-9397-08002B2CF9AE}" pid="3" name="MSIP_Label_45011977-b912-4387-97a4-f4c94a801377_SetDate">
    <vt:lpwstr>2021-09-03T15:18:33Z</vt:lpwstr>
  </property>
  <property fmtid="{D5CDD505-2E9C-101B-9397-08002B2CF9AE}" pid="4" name="MSIP_Label_45011977-b912-4387-97a4-f4c94a801377_Method">
    <vt:lpwstr>Standard</vt:lpwstr>
  </property>
  <property fmtid="{D5CDD505-2E9C-101B-9397-08002B2CF9AE}" pid="5" name="MSIP_Label_45011977-b912-4387-97a4-f4c94a801377_Name">
    <vt:lpwstr>Uncategorized Data</vt:lpwstr>
  </property>
  <property fmtid="{D5CDD505-2E9C-101B-9397-08002B2CF9AE}" pid="6" name="MSIP_Label_45011977-b912-4387-97a4-f4c94a801377_SiteId">
    <vt:lpwstr>11d0e217-264e-400a-8ba0-57dcc127d72d</vt:lpwstr>
  </property>
  <property fmtid="{D5CDD505-2E9C-101B-9397-08002B2CF9AE}" pid="7" name="MSIP_Label_45011977-b912-4387-97a4-f4c94a801377_ActionId">
    <vt:lpwstr>9ea71202-46a9-4cf5-b6c0-66dced8cdc33</vt:lpwstr>
  </property>
  <property fmtid="{D5CDD505-2E9C-101B-9397-08002B2CF9AE}" pid="8" name="MSIP_Label_45011977-b912-4387-97a4-f4c94a801377_ContentBits">
    <vt:lpwstr>0</vt:lpwstr>
  </property>
</Properties>
</file>